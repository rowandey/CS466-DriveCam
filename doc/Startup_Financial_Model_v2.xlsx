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nses" sheetId="1" r:id="rId4"/>
    <sheet state="visible" name="App Purchase Revenue" sheetId="2" r:id="rId5"/>
    <sheet state="visible" name="Profit and Loss (P&amp;L)" sheetId="3" r:id="rId6"/>
  </sheets>
  <definedNames/>
  <calcPr/>
  <extLst>
    <ext uri="GoogleSheetsCustomDataVersion2">
      <go:sheetsCustomData xmlns:go="http://customooxmlschemas.google.com/" r:id="rId7" roundtripDataChecksum="VObFlg7bB1HBiAPRmTt+sFdvNqtqCvRSLhadCy7wgCE="/>
    </ext>
  </extLst>
</workbook>
</file>

<file path=xl/sharedStrings.xml><?xml version="1.0" encoding="utf-8"?>
<sst xmlns="http://schemas.openxmlformats.org/spreadsheetml/2006/main" count="142" uniqueCount="77">
  <si>
    <t>DriveCam</t>
  </si>
  <si>
    <t>Initial Capital</t>
  </si>
  <si>
    <t>This sheet defines your expenses including salaries, office (if applicable), advertising (if applicable) and operations.  The monthly cash burn (how much you spend each month), and runway (how many months you have before running out of cash) is calculated for you.  Determine when and if you will pay yourselves as founders, if you will have an office, and a educated estimate at your operating expenses to model the expenses for the duration of this model.</t>
  </si>
  <si>
    <t xml:space="preserve">Salaries: </t>
  </si>
  <si>
    <t>Yellow highligted cells are inputs, all others are calculated for you</t>
  </si>
  <si>
    <t>Title</t>
  </si>
  <si>
    <t>Annual Salary</t>
  </si>
  <si>
    <t>Fringe benefits</t>
  </si>
  <si>
    <t>Salary + Fringe</t>
  </si>
  <si>
    <t xml:space="preserve">Date Hired </t>
  </si>
  <si>
    <t>Q1 2026</t>
  </si>
  <si>
    <t>Q2 2026</t>
  </si>
  <si>
    <t>Q3 2026</t>
  </si>
  <si>
    <t>Q4 2026</t>
  </si>
  <si>
    <t>FY 2026</t>
  </si>
  <si>
    <t>Q1 2027</t>
  </si>
  <si>
    <t>Q2 2027</t>
  </si>
  <si>
    <t>Q3 2027</t>
  </si>
  <si>
    <t>Q4 2027</t>
  </si>
  <si>
    <t>FY 2027</t>
  </si>
  <si>
    <t>CEO</t>
  </si>
  <si>
    <t xml:space="preserve">CTO </t>
  </si>
  <si>
    <t xml:space="preserve">Engineer 1 </t>
  </si>
  <si>
    <t>Engineer 2</t>
  </si>
  <si>
    <t>Designer</t>
  </si>
  <si>
    <t>B2B Sales Manager 1</t>
  </si>
  <si>
    <t>B2B Sales Manager 2</t>
  </si>
  <si>
    <t>Add more</t>
  </si>
  <si>
    <t>Total:</t>
  </si>
  <si>
    <t>Number of people in team</t>
  </si>
  <si>
    <t xml:space="preserve">General Expenses: </t>
  </si>
  <si>
    <t>Annual</t>
  </si>
  <si>
    <t>Start Date</t>
  </si>
  <si>
    <t>Q1 2025</t>
  </si>
  <si>
    <t>Miscellanious Expenses</t>
  </si>
  <si>
    <t>Operations:</t>
  </si>
  <si>
    <t>AWS</t>
  </si>
  <si>
    <t xml:space="preserve">Other </t>
  </si>
  <si>
    <t>Legal services</t>
  </si>
  <si>
    <t>Marketing and Advertisements</t>
  </si>
  <si>
    <t>Acquisition campaigns</t>
  </si>
  <si>
    <t>Advertising</t>
  </si>
  <si>
    <t>Total costs:</t>
  </si>
  <si>
    <t xml:space="preserve">Total costs </t>
  </si>
  <si>
    <t>Runway with no customers (worst case)</t>
  </si>
  <si>
    <t>Average Monthly Burn</t>
  </si>
  <si>
    <t>Cash Available (Capital)</t>
  </si>
  <si>
    <t>Runway</t>
  </si>
  <si>
    <t>Runway with paying customers</t>
  </si>
  <si>
    <t>Total Revenue from One-time Purchase model</t>
  </si>
  <si>
    <t>Capital + Revenue</t>
  </si>
  <si>
    <t>This sheet models revenue from one-time app purchases. Revenue each month = new purchases × app price × (1 − app store fee). Yellow cells are inputs, all others are calculated.</t>
  </si>
  <si>
    <t>DriveCam One-Time Purchase Revenue</t>
  </si>
  <si>
    <t>App price ($)</t>
  </si>
  <si>
    <t>Yellow highlighted cells are inputs, all others are calculated for you</t>
  </si>
  <si>
    <t>App store fee (%)</t>
  </si>
  <si>
    <t>Net revenue per download ($)</t>
  </si>
  <si>
    <t>Metric</t>
  </si>
  <si>
    <t>Monthly app store page visitors</t>
  </si>
  <si>
    <t>Monthly visitor growth rate (%)</t>
  </si>
  <si>
    <t>Visitor-to-download conversion rate (%)</t>
  </si>
  <si>
    <t>Total downloads this month</t>
  </si>
  <si>
    <t>Download-to-purchase conversion rate (%)</t>
  </si>
  <si>
    <t>New purchases this month</t>
  </si>
  <si>
    <t>Monthly Revenue ($)</t>
  </si>
  <si>
    <t>Revenue month-over-month growth (%)</t>
  </si>
  <si>
    <t>Total downloads cumulative</t>
  </si>
  <si>
    <t>Total Revenue cumulative ($)</t>
  </si>
  <si>
    <t>This sheet is a profit and loss modeling sheet that demonstrates your profit over time.  It also has a feature to inject investment cash and an estimate of your companies valuation assuming a 7x revenue valuation.</t>
  </si>
  <si>
    <t>Expenses</t>
  </si>
  <si>
    <t>Revenue</t>
  </si>
  <si>
    <t>Profit</t>
  </si>
  <si>
    <t>Cash Balance</t>
  </si>
  <si>
    <t>Investment</t>
  </si>
  <si>
    <t>Valuation Estimate (7x Rev)</t>
  </si>
  <si>
    <t>Annual Expenses</t>
  </si>
  <si>
    <t>Annual Revenue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</si>
</sst>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409]mmmm\ d&quot;, &quot;yyyy"/>
    <numFmt numFmtId="166" formatCode="_-\$* #,##0.00_-;&quot;-$&quot;* #,##0.00_-;_-\$* \-??_-;_-@"/>
    <numFmt numFmtId="167" formatCode="mmmm d, yyyy"/>
    <numFmt numFmtId="168" formatCode="0.0%"/>
    <numFmt numFmtId="169" formatCode="\$#,##0"/>
  </numFmts>
  <fonts count="16">
    <font>
      <sz val="12.0"/>
      <color rgb="FF000000"/>
      <name val="Calibri"/>
      <scheme val="minor"/>
    </font>
    <font>
      <b/>
      <sz val="14.0"/>
      <color rgb="FF000000"/>
      <name val="Calibri"/>
    </font>
    <font>
      <sz val="14.0"/>
      <color rgb="FF000000"/>
      <name val="Calibri"/>
    </font>
    <font>
      <sz val="12.0"/>
      <color rgb="FF000000"/>
      <name val="Calibri"/>
    </font>
    <font/>
    <font>
      <b/>
      <sz val="10.0"/>
      <color rgb="FF000000"/>
      <name val="Arial"/>
    </font>
    <font>
      <b/>
      <sz val="10.0"/>
      <color rgb="FFFFFFFF"/>
      <name val="Arial"/>
    </font>
    <font>
      <b/>
      <sz val="12.0"/>
      <color rgb="FF000000"/>
      <name val="Calibri"/>
    </font>
    <font>
      <color theme="1"/>
      <name val="Calibri"/>
      <scheme val="minor"/>
    </font>
    <font>
      <b/>
      <sz val="16.0"/>
      <color rgb="FF000000"/>
      <name val="Calibri"/>
    </font>
    <font>
      <sz val="11.0"/>
      <color rgb="FF000000"/>
      <name val="Arial"/>
    </font>
    <font>
      <sz val="11.0"/>
      <color theme="1"/>
      <name val="Arial"/>
    </font>
    <font>
      <b/>
      <sz val="11.0"/>
      <color rgb="FF000000"/>
      <name val="Arial"/>
    </font>
    <font>
      <sz val="11.0"/>
      <color rgb="FF0000FF"/>
      <name val="Arial"/>
    </font>
    <font>
      <sz val="11.0"/>
      <color theme="1"/>
      <name val="Cambria"/>
    </font>
    <font>
      <b/>
      <sz val="10.0"/>
      <color theme="1"/>
      <name val="Arial"/>
    </font>
  </fonts>
  <fills count="7">
    <fill>
      <patternFill patternType="none"/>
    </fill>
    <fill>
      <patternFill patternType="lightGray"/>
    </fill>
    <fill>
      <patternFill patternType="solid">
        <fgColor rgb="FFFFF2CC"/>
        <bgColor rgb="FFFFF2CC"/>
      </patternFill>
    </fill>
    <fill>
      <patternFill patternType="solid">
        <fgColor rgb="FFDEEAF6"/>
        <bgColor rgb="FFDEEAF6"/>
      </patternFill>
    </fill>
    <fill>
      <patternFill patternType="solid">
        <fgColor rgb="FF2F5496"/>
        <bgColor rgb="FF2F5496"/>
      </patternFill>
    </fill>
    <fill>
      <patternFill patternType="solid">
        <fgColor rgb="FF548135"/>
        <bgColor rgb="FF548135"/>
      </patternFill>
    </fill>
    <fill>
      <patternFill patternType="solid">
        <fgColor rgb="FFFFFFFF"/>
        <bgColor rgb="FFFFFFFF"/>
      </patternFill>
    </fill>
  </fills>
  <borders count="25">
    <border/>
    <border>
      <left/>
      <right/>
      <top/>
      <bottom/>
    </border>
    <border>
      <left/>
      <top/>
      <bottom/>
    </border>
    <border>
      <top/>
      <bottom/>
    </border>
    <border>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2" fontId="3" numFmtId="164" xfId="0" applyAlignment="1" applyBorder="1" applyFont="1" applyNumberFormat="1">
      <alignment readingOrder="0"/>
    </xf>
    <xf borderId="0" fillId="0" fontId="2" numFmtId="0" xfId="0" applyAlignment="1" applyFont="1">
      <alignment shrinkToFit="0" wrapText="1"/>
    </xf>
    <xf borderId="0" fillId="0" fontId="1" numFmtId="0" xfId="0" applyFont="1"/>
    <xf borderId="2" fillId="2" fontId="3" numFmtId="165" xfId="0" applyBorder="1" applyFont="1" applyNumberFormat="1"/>
    <xf borderId="3" fillId="0" fontId="4" numFmtId="0" xfId="0" applyBorder="1" applyFont="1"/>
    <xf borderId="4" fillId="0" fontId="4" numFmtId="0" xfId="0" applyBorder="1" applyFont="1"/>
    <xf borderId="5" fillId="3" fontId="5" numFmtId="0" xfId="0" applyBorder="1" applyFill="1" applyFont="1"/>
    <xf borderId="6" fillId="3" fontId="5" numFmtId="0" xfId="0" applyBorder="1" applyFont="1"/>
    <xf borderId="7" fillId="3" fontId="5" numFmtId="0" xfId="0" applyBorder="1" applyFont="1"/>
    <xf borderId="8" fillId="0" fontId="5" numFmtId="17" xfId="0" applyAlignment="1" applyBorder="1" applyFont="1" applyNumberFormat="1">
      <alignment horizontal="center" readingOrder="0"/>
    </xf>
    <xf borderId="6" fillId="4" fontId="6" numFmtId="0" xfId="0" applyAlignment="1" applyBorder="1" applyFill="1" applyFont="1">
      <alignment horizontal="center" readingOrder="0"/>
    </xf>
    <xf borderId="7" fillId="5" fontId="6" numFmtId="0" xfId="0" applyAlignment="1" applyBorder="1" applyFill="1" applyFont="1">
      <alignment horizontal="center" readingOrder="0"/>
    </xf>
    <xf borderId="9" fillId="0" fontId="3" numFmtId="0" xfId="0" applyBorder="1" applyFont="1"/>
    <xf borderId="1" fillId="2" fontId="3" numFmtId="166" xfId="0" applyBorder="1" applyFont="1" applyNumberFormat="1"/>
    <xf borderId="1" fillId="2" fontId="3" numFmtId="9" xfId="0" applyBorder="1" applyFont="1" applyNumberFormat="1"/>
    <xf borderId="1" fillId="2" fontId="3" numFmtId="165" xfId="0" applyAlignment="1" applyBorder="1" applyFont="1" applyNumberFormat="1">
      <alignment readingOrder="0"/>
    </xf>
    <xf borderId="0" fillId="0" fontId="3" numFmtId="166" xfId="0" applyFont="1" applyNumberFormat="1"/>
    <xf borderId="1" fillId="3" fontId="3" numFmtId="166" xfId="0" applyBorder="1" applyFont="1" applyNumberFormat="1"/>
    <xf borderId="10" fillId="0" fontId="3" numFmtId="166" xfId="0" applyBorder="1" applyFont="1" applyNumberFormat="1"/>
    <xf borderId="1" fillId="2" fontId="3" numFmtId="165" xfId="0" applyBorder="1" applyFont="1" applyNumberFormat="1"/>
    <xf borderId="11" fillId="0" fontId="7" numFmtId="0" xfId="0" applyBorder="1" applyFont="1"/>
    <xf borderId="8" fillId="0" fontId="3" numFmtId="166" xfId="0" applyBorder="1" applyFont="1" applyNumberFormat="1"/>
    <xf borderId="8" fillId="0" fontId="3" numFmtId="0" xfId="0" applyBorder="1" applyFont="1"/>
    <xf borderId="6" fillId="3" fontId="3" numFmtId="166" xfId="0" applyBorder="1" applyFont="1" applyNumberFormat="1"/>
    <xf borderId="12" fillId="0" fontId="3" numFmtId="166" xfId="0" applyBorder="1" applyFont="1" applyNumberFormat="1"/>
    <xf borderId="13" fillId="0" fontId="7" numFmtId="0" xfId="0" applyBorder="1" applyFont="1"/>
    <xf borderId="14" fillId="0" fontId="3" numFmtId="0" xfId="0" applyBorder="1" applyFont="1"/>
    <xf borderId="15" fillId="0" fontId="3" numFmtId="0" xfId="0" applyBorder="1" applyFont="1"/>
    <xf borderId="0" fillId="0" fontId="1" numFmtId="0" xfId="0" applyAlignment="1" applyFont="1">
      <alignment readingOrder="0"/>
    </xf>
    <xf borderId="6" fillId="3" fontId="3" numFmtId="0" xfId="0" applyBorder="1" applyFont="1"/>
    <xf borderId="0" fillId="0" fontId="8" numFmtId="0" xfId="0" applyAlignment="1" applyFont="1">
      <alignment readingOrder="0"/>
    </xf>
    <xf borderId="1" fillId="2" fontId="3" numFmtId="166" xfId="0" applyAlignment="1" applyBorder="1" applyFont="1" applyNumberFormat="1">
      <alignment readingOrder="0"/>
    </xf>
    <xf borderId="1" fillId="2" fontId="3" numFmtId="0" xfId="0" applyBorder="1" applyFont="1"/>
    <xf borderId="0" fillId="0" fontId="8" numFmtId="0" xfId="0" applyFont="1"/>
    <xf borderId="9" fillId="0" fontId="7" numFmtId="0" xfId="0" applyBorder="1" applyFont="1"/>
    <xf borderId="1" fillId="2" fontId="3" numFmtId="167" xfId="0" applyAlignment="1" applyBorder="1" applyFont="1" applyNumberFormat="1">
      <alignment readingOrder="0"/>
    </xf>
    <xf borderId="16" fillId="3" fontId="9" numFmtId="0" xfId="0" applyBorder="1" applyFont="1"/>
    <xf borderId="17" fillId="3" fontId="3" numFmtId="0" xfId="0" applyBorder="1" applyFont="1"/>
    <xf borderId="18" fillId="3" fontId="1" numFmtId="0" xfId="0" applyBorder="1" applyFont="1"/>
    <xf borderId="19" fillId="3" fontId="3" numFmtId="166" xfId="0" applyBorder="1" applyFont="1" applyNumberFormat="1"/>
    <xf borderId="20" fillId="3" fontId="1" numFmtId="49" xfId="0" applyAlignment="1" applyBorder="1" applyFont="1" applyNumberFormat="1">
      <alignment shrinkToFit="0" wrapText="1"/>
    </xf>
    <xf borderId="21" fillId="3" fontId="3" numFmtId="1" xfId="0" applyBorder="1" applyFont="1" applyNumberFormat="1"/>
    <xf borderId="18" fillId="3" fontId="1" numFmtId="0" xfId="0" applyAlignment="1" applyBorder="1" applyFont="1">
      <alignment readingOrder="0"/>
    </xf>
    <xf borderId="0" fillId="0" fontId="10" numFmtId="0" xfId="0" applyAlignment="1" applyFont="1">
      <alignment shrinkToFit="0" wrapText="1"/>
    </xf>
    <xf borderId="0" fillId="0" fontId="11" numFmtId="0" xfId="0" applyFont="1"/>
    <xf borderId="22" fillId="0" fontId="12" numFmtId="0" xfId="0" applyBorder="1" applyFont="1"/>
    <xf borderId="23" fillId="0" fontId="11" numFmtId="0" xfId="0" applyBorder="1" applyFont="1"/>
    <xf borderId="18" fillId="3" fontId="10" numFmtId="0" xfId="0" applyBorder="1" applyFont="1"/>
    <xf borderId="19" fillId="2" fontId="13" numFmtId="164" xfId="0" applyBorder="1" applyFont="1" applyNumberFormat="1"/>
    <xf borderId="1" fillId="2" fontId="10" numFmtId="0" xfId="0" applyBorder="1" applyFont="1"/>
    <xf borderId="20" fillId="3" fontId="10" numFmtId="0" xfId="0" applyBorder="1" applyFont="1"/>
    <xf borderId="21" fillId="2" fontId="13" numFmtId="9" xfId="0" applyBorder="1" applyFont="1" applyNumberFormat="1"/>
    <xf borderId="1" fillId="3" fontId="10" numFmtId="0" xfId="0" applyBorder="1" applyFont="1"/>
    <xf borderId="1" fillId="3" fontId="10" numFmtId="164" xfId="0" applyBorder="1" applyFont="1" applyNumberFormat="1"/>
    <xf borderId="11" fillId="0" fontId="11" numFmtId="0" xfId="0" applyBorder="1" applyFont="1"/>
    <xf borderId="11" fillId="0" fontId="11" numFmtId="0" xfId="0" applyAlignment="1" applyBorder="1" applyFont="1">
      <alignment horizontal="center"/>
    </xf>
    <xf borderId="8" fillId="0" fontId="11" numFmtId="0" xfId="0" applyAlignment="1" applyBorder="1" applyFont="1">
      <alignment horizontal="center"/>
    </xf>
    <xf borderId="12" fillId="0" fontId="11" numFmtId="0" xfId="0" applyAlignment="1" applyBorder="1" applyFont="1">
      <alignment horizontal="center"/>
    </xf>
    <xf borderId="12" fillId="0" fontId="11" numFmtId="0" xfId="0" applyBorder="1" applyFont="1"/>
    <xf borderId="8" fillId="0" fontId="11" numFmtId="0" xfId="0" applyBorder="1" applyFont="1"/>
    <xf borderId="11" fillId="0" fontId="8" numFmtId="0" xfId="0" applyBorder="1" applyFont="1"/>
    <xf borderId="12" fillId="0" fontId="8" numFmtId="0" xfId="0" applyBorder="1" applyFont="1"/>
    <xf borderId="16" fillId="3" fontId="12" numFmtId="0" xfId="0" applyBorder="1" applyFont="1"/>
    <xf borderId="24" fillId="0" fontId="11" numFmtId="0" xfId="0" applyBorder="1" applyFont="1"/>
    <xf borderId="9" fillId="0" fontId="10" numFmtId="0" xfId="0" applyBorder="1" applyFont="1"/>
    <xf borderId="1" fillId="2" fontId="13" numFmtId="3" xfId="0" applyAlignment="1" applyBorder="1" applyFont="1" applyNumberFormat="1">
      <alignment readingOrder="0"/>
    </xf>
    <xf borderId="0" fillId="0" fontId="10" numFmtId="3" xfId="0" applyFont="1" applyNumberFormat="1"/>
    <xf borderId="1" fillId="2" fontId="13" numFmtId="168" xfId="0" applyAlignment="1" applyBorder="1" applyFont="1" applyNumberFormat="1">
      <alignment readingOrder="0"/>
    </xf>
    <xf borderId="1" fillId="6" fontId="3" numFmtId="0" xfId="0" applyBorder="1" applyFill="1" applyFont="1"/>
    <xf borderId="1" fillId="2" fontId="13" numFmtId="168" xfId="0" applyBorder="1" applyFont="1" applyNumberFormat="1"/>
    <xf borderId="1" fillId="3" fontId="10" numFmtId="3" xfId="0" applyBorder="1" applyFont="1" applyNumberFormat="1"/>
    <xf borderId="2" fillId="3" fontId="10" numFmtId="3" xfId="0" applyBorder="1" applyFont="1" applyNumberFormat="1"/>
    <xf borderId="0" fillId="3" fontId="10" numFmtId="3" xfId="0" applyFont="1" applyNumberFormat="1"/>
    <xf borderId="4" fillId="3" fontId="10" numFmtId="3" xfId="0" applyBorder="1" applyFont="1" applyNumberFormat="1"/>
    <xf borderId="18" fillId="3" fontId="12" numFmtId="0" xfId="0" applyBorder="1" applyFont="1"/>
    <xf borderId="1" fillId="3" fontId="10" numFmtId="169" xfId="0" applyBorder="1" applyFont="1" applyNumberFormat="1"/>
    <xf borderId="2" fillId="3" fontId="10" numFmtId="169" xfId="0" applyBorder="1" applyFont="1" applyNumberFormat="1"/>
    <xf borderId="0" fillId="3" fontId="10" numFmtId="169" xfId="0" applyFont="1" applyNumberFormat="1"/>
    <xf borderId="4" fillId="3" fontId="10" numFmtId="169" xfId="0" applyBorder="1" applyFont="1" applyNumberFormat="1"/>
    <xf borderId="0" fillId="0" fontId="10" numFmtId="168" xfId="0" applyFont="1" applyNumberFormat="1"/>
    <xf borderId="13" fillId="0" fontId="11" numFmtId="0" xfId="0" applyBorder="1" applyFont="1"/>
    <xf borderId="14" fillId="0" fontId="11" numFmtId="0" xfId="0" applyBorder="1" applyFont="1"/>
    <xf borderId="14" fillId="0" fontId="8" numFmtId="0" xfId="0" applyBorder="1" applyFont="1"/>
    <xf borderId="0" fillId="0" fontId="14" numFmtId="0" xfId="0" applyAlignment="1" applyFont="1">
      <alignment shrinkToFit="0" wrapText="1"/>
    </xf>
    <xf borderId="0" fillId="0" fontId="5" numFmtId="17" xfId="0" applyAlignment="1" applyFont="1" applyNumberFormat="1">
      <alignment horizontal="center"/>
    </xf>
    <xf borderId="1" fillId="0" fontId="6" numFmtId="0" xfId="0" applyAlignment="1" applyBorder="1" applyFont="1">
      <alignment horizontal="center"/>
    </xf>
    <xf borderId="1" fillId="0" fontId="15" numFmtId="0" xfId="0" applyAlignment="1" applyBorder="1" applyFont="1">
      <alignment horizontal="center"/>
    </xf>
    <xf borderId="0" fillId="0" fontId="14" numFmtId="0" xfId="0" applyFont="1"/>
    <xf borderId="0" fillId="0" fontId="14" numFmtId="166" xfId="0" applyFont="1" applyNumberFormat="1"/>
    <xf borderId="0" fillId="0" fontId="14" numFmtId="164" xfId="0" applyFont="1" applyNumberFormat="1"/>
    <xf borderId="1" fillId="2" fontId="14" numFmtId="0" xfId="0" applyBorder="1" applyFont="1"/>
    <xf borderId="1" fillId="2" fontId="14" numFmtId="0" xfId="0" applyAlignment="1" applyBorder="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Roboto"/>
              </a:defRPr>
            </a:pPr>
            <a:r>
              <a:rPr b="0" i="0" sz="1800">
                <a:solidFill>
                  <a:srgbClr val="000000"/>
                </a:solidFill>
                <a:latin typeface="Roboto"/>
              </a:rPr>
              <a:t>Expenses, Revenue and Profit</a:t>
            </a:r>
          </a:p>
        </c:rich>
      </c:tx>
      <c:overlay val="0"/>
    </c:title>
    <c:plotArea>
      <c:layout/>
      <c:barChart>
        <c:barDir val="col"/>
        <c:ser>
          <c:idx val="0"/>
          <c:order val="0"/>
          <c:tx>
            <c:v>Expenses</c:v>
          </c:tx>
          <c:spPr>
            <a:solidFill>
              <a:srgbClr val="4285F4"/>
            </a:solidFill>
            <a:ln cmpd="sng" w="19050">
              <a:solidFill>
                <a:srgbClr val="000000"/>
              </a:solidFill>
            </a:ln>
          </c:spPr>
          <c:cat>
            <c:strRef>
              <c:f>'Profit and Loss (P&amp;L)'!$B$3:$Y$3</c:f>
            </c:strRef>
          </c:cat>
          <c:val>
            <c:numRef>
              <c:f>'Profit and Loss (P&amp;L)'!$B$4:$Y$4</c:f>
              <c:numCache/>
            </c:numRef>
          </c:val>
        </c:ser>
        <c:ser>
          <c:idx val="1"/>
          <c:order val="1"/>
          <c:tx>
            <c:v>Revenue</c:v>
          </c:tx>
          <c:spPr>
            <a:solidFill>
              <a:srgbClr val="DB4437"/>
            </a:solidFill>
            <a:ln cmpd="sng" w="19050">
              <a:solidFill>
                <a:srgbClr val="000000"/>
              </a:solidFill>
            </a:ln>
          </c:spPr>
          <c:cat>
            <c:strRef>
              <c:f>'Profit and Loss (P&amp;L)'!$B$3:$Y$3</c:f>
            </c:strRef>
          </c:cat>
          <c:val>
            <c:numRef>
              <c:f>'Profit and Loss (P&amp;L)'!$B$5:$Y$5</c:f>
              <c:numCache/>
            </c:numRef>
          </c:val>
        </c:ser>
        <c:ser>
          <c:idx val="2"/>
          <c:order val="2"/>
          <c:tx>
            <c:v>Profit</c:v>
          </c:tx>
          <c:spPr>
            <a:solidFill>
              <a:srgbClr val="F4B400"/>
            </a:solidFill>
            <a:ln cmpd="sng" w="19050">
              <a:solidFill>
                <a:srgbClr val="000000"/>
              </a:solidFill>
            </a:ln>
          </c:spPr>
          <c:cat>
            <c:strRef>
              <c:f>'Profit and Loss (P&amp;L)'!$B$3:$Y$3</c:f>
            </c:strRef>
          </c:cat>
          <c:val>
            <c:numRef>
              <c:f>'Profit and Loss (P&amp;L)'!$B$6:$Y$6</c:f>
              <c:numCache/>
            </c:numRef>
          </c:val>
        </c:ser>
        <c:axId val="777880796"/>
        <c:axId val="1012752584"/>
      </c:barChart>
      <c:catAx>
        <c:axId val="777880796"/>
        <c:scaling>
          <c:orientation val="minMax"/>
        </c:scaling>
        <c:delete val="0"/>
        <c:axPos val="b"/>
        <c:title>
          <c:tx>
            <c:rich>
              <a:bodyPr/>
              <a:lstStyle/>
              <a:p>
                <a:pPr lvl="0">
                  <a:defRPr b="0" i="0" sz="1000">
                    <a:solidFill>
                      <a:srgbClr val="000000"/>
                    </a:solidFill>
                    <a:latin typeface="Roboto"/>
                  </a:defRPr>
                </a:pPr>
                <a:r>
                  <a:rPr b="0" i="0" sz="1000">
                    <a:solidFill>
                      <a:srgbClr val="000000"/>
                    </a:solidFill>
                    <a:latin typeface="Roboto"/>
                  </a:rPr>
                  <a:t>Date</a:t>
                </a:r>
              </a:p>
            </c:rich>
          </c:tx>
          <c:overlay val="0"/>
        </c:title>
        <c:numFmt formatCode="General" sourceLinked="0"/>
        <c:majorTickMark val="none"/>
        <c:minorTickMark val="none"/>
        <c:spPr/>
        <c:txPr>
          <a:bodyPr/>
          <a:lstStyle/>
          <a:p>
            <a:pPr lvl="0">
              <a:defRPr b="0" i="0" sz="1000">
                <a:solidFill>
                  <a:srgbClr val="000000"/>
                </a:solidFill>
                <a:latin typeface="Roboto"/>
              </a:defRPr>
            </a:pPr>
          </a:p>
        </c:txPr>
        <c:crossAx val="1012752584"/>
      </c:catAx>
      <c:valAx>
        <c:axId val="1012752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000">
                    <a:solidFill>
                      <a:srgbClr val="000000"/>
                    </a:solidFill>
                    <a:latin typeface="Roboto"/>
                  </a:defRPr>
                </a:pPr>
                <a:r>
                  <a:rPr b="0" i="0" sz="1000">
                    <a:solidFill>
                      <a:srgbClr val="000000"/>
                    </a:solidFill>
                    <a:latin typeface="Roboto"/>
                  </a:rPr>
                  <a:t>Dollars</a:t>
                </a:r>
              </a:p>
            </c:rich>
          </c:tx>
          <c:overlay val="0"/>
        </c:title>
        <c:numFmt formatCode="General" sourceLinked="0"/>
        <c:majorTickMark val="none"/>
        <c:minorTickMark val="none"/>
        <c:tickLblPos val="nextTo"/>
        <c:spPr>
          <a:ln/>
        </c:spPr>
        <c:txPr>
          <a:bodyPr/>
          <a:lstStyle/>
          <a:p>
            <a:pPr lvl="0">
              <a:defRPr b="0" i="0" sz="1000">
                <a:solidFill>
                  <a:srgbClr val="000000"/>
                </a:solidFill>
                <a:latin typeface="Roboto"/>
              </a:defRPr>
            </a:pPr>
          </a:p>
        </c:txPr>
        <c:crossAx val="777880796"/>
      </c:valAx>
    </c:plotArea>
    <c:legend>
      <c:legendPos val="r"/>
      <c:overlay val="0"/>
      <c:txPr>
        <a:bodyPr/>
        <a:lstStyle/>
        <a:p>
          <a:pPr lvl="0">
            <a:defRPr b="0" i="0" sz="1000">
              <a:solidFill>
                <a:srgbClr val="000000"/>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Roboto"/>
              </a:defRPr>
            </a:pPr>
            <a:r>
              <a:rPr b="0" i="0" sz="1800">
                <a:solidFill>
                  <a:srgbClr val="000000"/>
                </a:solidFill>
                <a:latin typeface="Roboto"/>
              </a:rPr>
              <a:t>Cash Balance, Investment, Valuation</a:t>
            </a:r>
          </a:p>
        </c:rich>
      </c:tx>
      <c:overlay val="0"/>
    </c:title>
    <c:plotArea>
      <c:layout/>
      <c:barChart>
        <c:barDir val="col"/>
        <c:ser>
          <c:idx val="0"/>
          <c:order val="0"/>
          <c:tx>
            <c:v>Cash Balance</c:v>
          </c:tx>
          <c:spPr>
            <a:solidFill>
              <a:srgbClr val="4285F4"/>
            </a:solidFill>
            <a:ln cmpd="sng" w="38100">
              <a:solidFill>
                <a:srgbClr val="000000"/>
              </a:solidFill>
            </a:ln>
          </c:spPr>
          <c:cat>
            <c:strRef>
              <c:f>'Profit and Loss (P&amp;L)'!$B$3:$Y$3</c:f>
            </c:strRef>
          </c:cat>
          <c:val>
            <c:numRef>
              <c:f>'Profit and Loss (P&amp;L)'!$B$7:$Y$7</c:f>
              <c:numCache/>
            </c:numRef>
          </c:val>
        </c:ser>
        <c:ser>
          <c:idx val="1"/>
          <c:order val="1"/>
          <c:tx>
            <c:v>Investment</c:v>
          </c:tx>
          <c:spPr>
            <a:solidFill>
              <a:srgbClr val="DB4437"/>
            </a:solidFill>
            <a:ln cmpd="sng" w="38100">
              <a:solidFill>
                <a:srgbClr val="000000"/>
              </a:solidFill>
            </a:ln>
          </c:spPr>
          <c:cat>
            <c:strRef>
              <c:f>'Profit and Loss (P&amp;L)'!$B$3:$Y$3</c:f>
            </c:strRef>
          </c:cat>
          <c:val>
            <c:numRef>
              <c:f>'Profit and Loss (P&amp;L)'!$B$8:$Y$8</c:f>
              <c:numCache/>
            </c:numRef>
          </c:val>
        </c:ser>
        <c:ser>
          <c:idx val="2"/>
          <c:order val="2"/>
          <c:tx>
            <c:v>Valuation Estimate (7x Rev)</c:v>
          </c:tx>
          <c:spPr>
            <a:solidFill>
              <a:srgbClr val="F4B400"/>
            </a:solidFill>
            <a:ln cmpd="sng" w="38100">
              <a:solidFill>
                <a:srgbClr val="000000"/>
              </a:solidFill>
            </a:ln>
          </c:spPr>
          <c:cat>
            <c:strRef>
              <c:f>'Profit and Loss (P&amp;L)'!$B$3:$Y$3</c:f>
            </c:strRef>
          </c:cat>
          <c:val>
            <c:numRef>
              <c:f>'Profit and Loss (P&amp;L)'!$B$9:$Y$9</c:f>
              <c:numCache/>
            </c:numRef>
          </c:val>
        </c:ser>
        <c:axId val="1314986894"/>
        <c:axId val="1075933541"/>
      </c:barChart>
      <c:catAx>
        <c:axId val="1314986894"/>
        <c:scaling>
          <c:orientation val="minMax"/>
        </c:scaling>
        <c:delete val="0"/>
        <c:axPos val="b"/>
        <c:title>
          <c:tx>
            <c:rich>
              <a:bodyPr/>
              <a:lstStyle/>
              <a:p>
                <a:pPr lvl="0">
                  <a:defRPr b="0" i="0" sz="1000">
                    <a:solidFill>
                      <a:srgbClr val="000000"/>
                    </a:solidFill>
                    <a:latin typeface="Roboto"/>
                  </a:defRPr>
                </a:pPr>
                <a:r>
                  <a:rPr b="0" i="0" sz="1000">
                    <a:solidFill>
                      <a:srgbClr val="000000"/>
                    </a:solidFill>
                    <a:latin typeface="Roboto"/>
                  </a:rPr>
                  <a:t>Date</a:t>
                </a:r>
              </a:p>
            </c:rich>
          </c:tx>
          <c:overlay val="0"/>
        </c:title>
        <c:numFmt formatCode="General" sourceLinked="0"/>
        <c:majorTickMark val="none"/>
        <c:minorTickMark val="none"/>
        <c:spPr/>
        <c:txPr>
          <a:bodyPr/>
          <a:lstStyle/>
          <a:p>
            <a:pPr lvl="0">
              <a:defRPr b="0" i="0" sz="1000">
                <a:solidFill>
                  <a:srgbClr val="000000"/>
                </a:solidFill>
                <a:latin typeface="Roboto"/>
              </a:defRPr>
            </a:pPr>
          </a:p>
        </c:txPr>
        <c:crossAx val="1075933541"/>
      </c:catAx>
      <c:valAx>
        <c:axId val="1075933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000">
                    <a:solidFill>
                      <a:srgbClr val="000000"/>
                    </a:solidFill>
                    <a:latin typeface="Roboto"/>
                  </a:defRPr>
                </a:pPr>
                <a:r>
                  <a:rPr b="0" i="0" sz="1000">
                    <a:solidFill>
                      <a:srgbClr val="000000"/>
                    </a:solidFill>
                    <a:latin typeface="Roboto"/>
                  </a:rPr>
                  <a:t>Dollars</a:t>
                </a:r>
              </a:p>
            </c:rich>
          </c:tx>
          <c:overlay val="0"/>
        </c:title>
        <c:numFmt formatCode="General" sourceLinked="0"/>
        <c:majorTickMark val="none"/>
        <c:minorTickMark val="none"/>
        <c:tickLblPos val="nextTo"/>
        <c:spPr>
          <a:ln/>
        </c:spPr>
        <c:txPr>
          <a:bodyPr/>
          <a:lstStyle/>
          <a:p>
            <a:pPr lvl="0">
              <a:defRPr b="0" i="0" sz="1000">
                <a:solidFill>
                  <a:srgbClr val="000000"/>
                </a:solidFill>
                <a:latin typeface="Roboto"/>
              </a:defRPr>
            </a:pPr>
          </a:p>
        </c:txPr>
        <c:crossAx val="1314986894"/>
      </c:valAx>
    </c:plotArea>
    <c:legend>
      <c:legendPos val="r"/>
      <c:overlay val="0"/>
      <c:txPr>
        <a:bodyPr/>
        <a:lstStyle/>
        <a:p>
          <a:pPr lvl="0">
            <a:defRPr b="0" i="0" sz="1000">
              <a:solidFill>
                <a:srgbClr val="000000"/>
              </a:solidFill>
              <a:latin typeface="Roboto"/>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133350</xdr:rowOff>
    </xdr:from>
    <xdr:ext cx="6238875" cy="3714750"/>
    <xdr:graphicFrame>
      <xdr:nvGraphicFramePr>
        <xdr:cNvPr id="89823450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723900</xdr:colOff>
      <xdr:row>18</xdr:row>
      <xdr:rowOff>142875</xdr:rowOff>
    </xdr:from>
    <xdr:ext cx="6248400" cy="3695700"/>
    <xdr:graphicFrame>
      <xdr:nvGraphicFramePr>
        <xdr:cNvPr id="12689546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11"/>
    <col customWidth="1" min="2" max="2" width="24.33"/>
    <col customWidth="1" min="3" max="3" width="18.67"/>
    <col customWidth="1" min="4" max="4" width="19.78"/>
    <col customWidth="1" min="5" max="5" width="13.78"/>
    <col customWidth="1" min="6" max="12" width="11.44"/>
    <col customWidth="1" min="13" max="13" width="12.67"/>
    <col customWidth="1" min="14" max="16" width="11.44"/>
    <col customWidth="1" min="17" max="17" width="13.0"/>
    <col customWidth="1" min="18" max="20" width="11.44"/>
    <col customWidth="1" min="21" max="21" width="12.67"/>
    <col customWidth="1" min="22" max="22" width="12.44"/>
    <col customWidth="1" min="23" max="39" width="11.11"/>
  </cols>
  <sheetData>
    <row r="1" ht="18.75" customHeight="1">
      <c r="A1" s="1" t="s">
        <v>0</v>
      </c>
    </row>
    <row r="2" ht="18.75" customHeight="1">
      <c r="A2" s="2" t="s">
        <v>1</v>
      </c>
      <c r="B2" s="3">
        <v>100000.0</v>
      </c>
    </row>
    <row r="3" ht="15.75" customHeight="1">
      <c r="A3" s="2"/>
    </row>
    <row r="4" ht="15.75" customHeight="1">
      <c r="A4" s="4" t="s">
        <v>2</v>
      </c>
    </row>
    <row r="5" ht="15.75" customHeight="1">
      <c r="A5" s="2"/>
    </row>
    <row r="6" ht="15.75" customHeight="1">
      <c r="A6" s="2"/>
    </row>
    <row r="7" ht="18.75" customHeight="1">
      <c r="A7" s="5" t="s">
        <v>3</v>
      </c>
      <c r="B7" s="6" t="s">
        <v>4</v>
      </c>
      <c r="C7" s="7"/>
      <c r="D7" s="7"/>
      <c r="E7" s="8"/>
    </row>
    <row r="8" ht="15.75" customHeight="1">
      <c r="A8" s="9" t="s">
        <v>5</v>
      </c>
      <c r="B8" s="10" t="s">
        <v>6</v>
      </c>
      <c r="C8" s="10" t="s">
        <v>7</v>
      </c>
      <c r="D8" s="10" t="s">
        <v>8</v>
      </c>
      <c r="E8" s="11" t="s">
        <v>9</v>
      </c>
      <c r="F8" s="12">
        <v>46037.0</v>
      </c>
      <c r="G8" s="12">
        <v>46068.0</v>
      </c>
      <c r="H8" s="12">
        <v>46096.0</v>
      </c>
      <c r="I8" s="13" t="s">
        <v>10</v>
      </c>
      <c r="J8" s="12">
        <v>46127.0</v>
      </c>
      <c r="K8" s="12">
        <v>46157.0</v>
      </c>
      <c r="L8" s="12">
        <v>46188.0</v>
      </c>
      <c r="M8" s="13" t="s">
        <v>11</v>
      </c>
      <c r="N8" s="12">
        <v>46218.0</v>
      </c>
      <c r="O8" s="12">
        <v>46249.0</v>
      </c>
      <c r="P8" s="12">
        <v>46280.0</v>
      </c>
      <c r="Q8" s="13" t="s">
        <v>12</v>
      </c>
      <c r="R8" s="12">
        <v>46310.0</v>
      </c>
      <c r="S8" s="12">
        <v>46341.0</v>
      </c>
      <c r="T8" s="12">
        <v>46371.0</v>
      </c>
      <c r="U8" s="13" t="s">
        <v>13</v>
      </c>
      <c r="V8" s="14" t="s">
        <v>14</v>
      </c>
      <c r="W8" s="12">
        <v>46402.0</v>
      </c>
      <c r="X8" s="12">
        <v>46433.0</v>
      </c>
      <c r="Y8" s="12">
        <v>46461.0</v>
      </c>
      <c r="Z8" s="13" t="s">
        <v>15</v>
      </c>
      <c r="AA8" s="12">
        <v>46492.0</v>
      </c>
      <c r="AB8" s="12">
        <v>46522.0</v>
      </c>
      <c r="AC8" s="12">
        <v>46553.0</v>
      </c>
      <c r="AD8" s="13" t="s">
        <v>16</v>
      </c>
      <c r="AE8" s="12">
        <v>46583.0</v>
      </c>
      <c r="AF8" s="12">
        <v>46614.0</v>
      </c>
      <c r="AG8" s="12">
        <v>46645.0</v>
      </c>
      <c r="AH8" s="13" t="s">
        <v>17</v>
      </c>
      <c r="AI8" s="12">
        <v>46675.0</v>
      </c>
      <c r="AJ8" s="12">
        <v>46706.0</v>
      </c>
      <c r="AK8" s="12">
        <v>46736.0</v>
      </c>
      <c r="AL8" s="13" t="s">
        <v>18</v>
      </c>
      <c r="AM8" s="14" t="s">
        <v>19</v>
      </c>
    </row>
    <row r="9" ht="15.75" customHeight="1">
      <c r="A9" s="15" t="s">
        <v>20</v>
      </c>
      <c r="B9" s="16">
        <v>50000.0</v>
      </c>
      <c r="C9" s="17">
        <v>0.09</v>
      </c>
      <c r="D9" s="16">
        <f t="shared" ref="D9:D18" si="9">B9+(B9*C9)</f>
        <v>54500</v>
      </c>
      <c r="E9" s="18">
        <v>46204.0</v>
      </c>
      <c r="G9" s="19">
        <f t="shared" ref="G9:H9" si="1">IF($E9&lt;=G$8, $D9/12, 0)</f>
        <v>0</v>
      </c>
      <c r="H9" s="19">
        <f t="shared" si="1"/>
        <v>0</v>
      </c>
      <c r="I9" s="20">
        <f t="shared" ref="I9:I18" si="11">SUM(F9:H9)</f>
        <v>0</v>
      </c>
      <c r="J9" s="19">
        <f t="shared" ref="J9:L9" si="2">IF($E9&lt;=J$8, $D9/12, 0)</f>
        <v>0</v>
      </c>
      <c r="K9" s="19">
        <f t="shared" si="2"/>
        <v>0</v>
      </c>
      <c r="L9" s="19">
        <f t="shared" si="2"/>
        <v>0</v>
      </c>
      <c r="M9" s="20">
        <f t="shared" ref="M9:M18" si="13">SUM(J9:L9)</f>
        <v>0</v>
      </c>
      <c r="N9" s="19">
        <f t="shared" ref="N9:P9" si="3">IF($E9&lt;=N$8, $D9/12, 0)</f>
        <v>4541.666667</v>
      </c>
      <c r="O9" s="19">
        <f t="shared" si="3"/>
        <v>4541.666667</v>
      </c>
      <c r="P9" s="19">
        <f t="shared" si="3"/>
        <v>4541.666667</v>
      </c>
      <c r="Q9" s="20">
        <f t="shared" ref="Q9:Q18" si="15">SUM(N9:P9)</f>
        <v>13625</v>
      </c>
      <c r="R9" s="19">
        <f t="shared" ref="R9:T9" si="4">IF($E9&lt;=R$8, $D9/12, 0)</f>
        <v>4541.666667</v>
      </c>
      <c r="S9" s="19">
        <f t="shared" si="4"/>
        <v>4541.666667</v>
      </c>
      <c r="T9" s="19">
        <f t="shared" si="4"/>
        <v>4541.666667</v>
      </c>
      <c r="U9" s="20">
        <f t="shared" ref="U9:U18" si="17">SUM(R9:T9)</f>
        <v>13625</v>
      </c>
      <c r="V9" s="21">
        <f t="shared" ref="V9:V18" si="18">I9+M9+Q9+U9</f>
        <v>27250</v>
      </c>
      <c r="W9" s="19">
        <f t="shared" ref="W9:Y9" si="5">IF($E9&lt;=W$8, $D9/12, 0)</f>
        <v>4541.666667</v>
      </c>
      <c r="X9" s="19">
        <f t="shared" si="5"/>
        <v>4541.666667</v>
      </c>
      <c r="Y9" s="19">
        <f t="shared" si="5"/>
        <v>4541.666667</v>
      </c>
      <c r="Z9" s="20">
        <f t="shared" ref="Z9:Z18" si="20">SUM(W9:Y9)</f>
        <v>13625</v>
      </c>
      <c r="AA9" s="19">
        <f t="shared" ref="AA9:AC9" si="6">IF($E9&lt;=AA$8, $D9/12, 0)</f>
        <v>4541.666667</v>
      </c>
      <c r="AB9" s="19">
        <f t="shared" si="6"/>
        <v>4541.666667</v>
      </c>
      <c r="AC9" s="19">
        <f t="shared" si="6"/>
        <v>4541.666667</v>
      </c>
      <c r="AD9" s="20">
        <f t="shared" ref="AD9:AD18" si="22">SUM(AA9:AC9)</f>
        <v>13625</v>
      </c>
      <c r="AE9" s="19">
        <f t="shared" ref="AE9:AG9" si="7">IF($E9&lt;=AE$8, $D9/12, 0)</f>
        <v>4541.666667</v>
      </c>
      <c r="AF9" s="19">
        <f t="shared" si="7"/>
        <v>4541.666667</v>
      </c>
      <c r="AG9" s="19">
        <f t="shared" si="7"/>
        <v>4541.666667</v>
      </c>
      <c r="AH9" s="20">
        <f t="shared" ref="AH9:AH18" si="24">SUM(AE9:AG9)</f>
        <v>13625</v>
      </c>
      <c r="AI9" s="19">
        <f t="shared" ref="AI9:AK9" si="8">IF($E9&lt;=AI$8, $D9/12, 0)</f>
        <v>4541.666667</v>
      </c>
      <c r="AJ9" s="19">
        <f t="shared" si="8"/>
        <v>4541.666667</v>
      </c>
      <c r="AK9" s="19">
        <f t="shared" si="8"/>
        <v>4541.666667</v>
      </c>
      <c r="AL9" s="20">
        <f t="shared" ref="AL9:AL18" si="26">SUM(AI9:AK9)</f>
        <v>13625</v>
      </c>
      <c r="AM9" s="21">
        <f t="shared" ref="AM9:AM18" si="27">Z9+AD9+AH9+AL9</f>
        <v>54500</v>
      </c>
    </row>
    <row r="10" ht="15.75" customHeight="1">
      <c r="A10" s="15" t="s">
        <v>21</v>
      </c>
      <c r="B10" s="16">
        <v>50000.0</v>
      </c>
      <c r="C10" s="17">
        <v>0.09</v>
      </c>
      <c r="D10" s="16">
        <f t="shared" si="9"/>
        <v>54500</v>
      </c>
      <c r="E10" s="18">
        <v>46204.0</v>
      </c>
      <c r="F10" s="19">
        <f>IF($E9&lt;=F$8, $D9/12, 0)</f>
        <v>0</v>
      </c>
      <c r="G10" s="19">
        <f t="shared" ref="G10:H10" si="10">IF($E10&lt;=G$8, $D10/12, 0)</f>
        <v>0</v>
      </c>
      <c r="H10" s="19">
        <f t="shared" si="10"/>
        <v>0</v>
      </c>
      <c r="I10" s="20">
        <f t="shared" si="11"/>
        <v>0</v>
      </c>
      <c r="J10" s="19">
        <f t="shared" ref="J10:L10" si="12">IF($E10&lt;=J$8, $D10/12, 0)</f>
        <v>0</v>
      </c>
      <c r="K10" s="19">
        <f t="shared" si="12"/>
        <v>0</v>
      </c>
      <c r="L10" s="19">
        <f t="shared" si="12"/>
        <v>0</v>
      </c>
      <c r="M10" s="20">
        <f t="shared" si="13"/>
        <v>0</v>
      </c>
      <c r="N10" s="19">
        <f t="shared" ref="N10:P10" si="14">IF($E10&lt;=N$8, $D10/12, 0)</f>
        <v>4541.666667</v>
      </c>
      <c r="O10" s="19">
        <f t="shared" si="14"/>
        <v>4541.666667</v>
      </c>
      <c r="P10" s="19">
        <f t="shared" si="14"/>
        <v>4541.666667</v>
      </c>
      <c r="Q10" s="20">
        <f t="shared" si="15"/>
        <v>13625</v>
      </c>
      <c r="R10" s="19">
        <f t="shared" ref="R10:T10" si="16">IF($E10&lt;=R$8, $D10/12, 0)</f>
        <v>4541.666667</v>
      </c>
      <c r="S10" s="19">
        <f t="shared" si="16"/>
        <v>4541.666667</v>
      </c>
      <c r="T10" s="19">
        <f t="shared" si="16"/>
        <v>4541.666667</v>
      </c>
      <c r="U10" s="20">
        <f t="shared" si="17"/>
        <v>13625</v>
      </c>
      <c r="V10" s="21">
        <f t="shared" si="18"/>
        <v>27250</v>
      </c>
      <c r="W10" s="19">
        <f>IF($E9&lt;=W$8, $D9/12, 0)</f>
        <v>4541.666667</v>
      </c>
      <c r="X10" s="19">
        <f t="shared" ref="X10:Y10" si="19">IF($E10&lt;=X$8, $D10/12, 0)</f>
        <v>4541.666667</v>
      </c>
      <c r="Y10" s="19">
        <f t="shared" si="19"/>
        <v>4541.666667</v>
      </c>
      <c r="Z10" s="20">
        <f t="shared" si="20"/>
        <v>13625</v>
      </c>
      <c r="AA10" s="19">
        <f t="shared" ref="AA10:AC10" si="21">IF($E10&lt;=AA$8, $D10/12, 0)</f>
        <v>4541.666667</v>
      </c>
      <c r="AB10" s="19">
        <f t="shared" si="21"/>
        <v>4541.666667</v>
      </c>
      <c r="AC10" s="19">
        <f t="shared" si="21"/>
        <v>4541.666667</v>
      </c>
      <c r="AD10" s="20">
        <f t="shared" si="22"/>
        <v>13625</v>
      </c>
      <c r="AE10" s="19">
        <f t="shared" ref="AE10:AG10" si="23">IF($E10&lt;=AE$8, $D10/12, 0)</f>
        <v>4541.666667</v>
      </c>
      <c r="AF10" s="19">
        <f t="shared" si="23"/>
        <v>4541.666667</v>
      </c>
      <c r="AG10" s="19">
        <f t="shared" si="23"/>
        <v>4541.666667</v>
      </c>
      <c r="AH10" s="20">
        <f t="shared" si="24"/>
        <v>13625</v>
      </c>
      <c r="AI10" s="19">
        <f t="shared" ref="AI10:AK10" si="25">IF($E10&lt;=AI$8, $D10/12, 0)</f>
        <v>4541.666667</v>
      </c>
      <c r="AJ10" s="19">
        <f t="shared" si="25"/>
        <v>4541.666667</v>
      </c>
      <c r="AK10" s="19">
        <f t="shared" si="25"/>
        <v>4541.666667</v>
      </c>
      <c r="AL10" s="20">
        <f t="shared" si="26"/>
        <v>13625</v>
      </c>
      <c r="AM10" s="21">
        <f t="shared" si="27"/>
        <v>54500</v>
      </c>
    </row>
    <row r="11" ht="15.75" customHeight="1">
      <c r="A11" s="15" t="s">
        <v>22</v>
      </c>
      <c r="B11" s="16">
        <v>50000.0</v>
      </c>
      <c r="C11" s="17">
        <v>0.09</v>
      </c>
      <c r="D11" s="16">
        <f t="shared" si="9"/>
        <v>54500</v>
      </c>
      <c r="E11" s="18">
        <v>46023.0</v>
      </c>
      <c r="F11" s="19">
        <f t="shared" ref="F11:H11" si="28">IF($E11&lt;=F$8, $D11/12, 0)</f>
        <v>4541.666667</v>
      </c>
      <c r="G11" s="19">
        <f t="shared" si="28"/>
        <v>4541.666667</v>
      </c>
      <c r="H11" s="19">
        <f t="shared" si="28"/>
        <v>4541.666667</v>
      </c>
      <c r="I11" s="20">
        <f t="shared" si="11"/>
        <v>13625</v>
      </c>
      <c r="J11" s="19">
        <f t="shared" ref="J11:L11" si="29">IF($E11&lt;=J$8, $D11/12, 0)</f>
        <v>4541.666667</v>
      </c>
      <c r="K11" s="19">
        <f t="shared" si="29"/>
        <v>4541.666667</v>
      </c>
      <c r="L11" s="19">
        <f t="shared" si="29"/>
        <v>4541.666667</v>
      </c>
      <c r="M11" s="20">
        <f t="shared" si="13"/>
        <v>13625</v>
      </c>
      <c r="N11" s="19">
        <f t="shared" ref="N11:P11" si="30">IF($E11&lt;=N$8, $D11/12, 0)</f>
        <v>4541.666667</v>
      </c>
      <c r="O11" s="19">
        <f t="shared" si="30"/>
        <v>4541.666667</v>
      </c>
      <c r="P11" s="19">
        <f t="shared" si="30"/>
        <v>4541.666667</v>
      </c>
      <c r="Q11" s="20">
        <f t="shared" si="15"/>
        <v>13625</v>
      </c>
      <c r="R11" s="19">
        <f t="shared" ref="R11:T11" si="31">IF($E11&lt;=R$8, $D11/12, 0)</f>
        <v>4541.666667</v>
      </c>
      <c r="S11" s="19">
        <f t="shared" si="31"/>
        <v>4541.666667</v>
      </c>
      <c r="T11" s="19">
        <f t="shared" si="31"/>
        <v>4541.666667</v>
      </c>
      <c r="U11" s="20">
        <f t="shared" si="17"/>
        <v>13625</v>
      </c>
      <c r="V11" s="21">
        <f t="shared" si="18"/>
        <v>54500</v>
      </c>
      <c r="W11" s="19">
        <f t="shared" ref="W11:Y11" si="32">IF($E11&lt;=W$8, $D11/12, 0)</f>
        <v>4541.666667</v>
      </c>
      <c r="X11" s="19">
        <f t="shared" si="32"/>
        <v>4541.666667</v>
      </c>
      <c r="Y11" s="19">
        <f t="shared" si="32"/>
        <v>4541.666667</v>
      </c>
      <c r="Z11" s="20">
        <f t="shared" si="20"/>
        <v>13625</v>
      </c>
      <c r="AA11" s="19">
        <f t="shared" ref="AA11:AC11" si="33">IF($E11&lt;=AA$8, $D11/12, 0)</f>
        <v>4541.666667</v>
      </c>
      <c r="AB11" s="19">
        <f t="shared" si="33"/>
        <v>4541.666667</v>
      </c>
      <c r="AC11" s="19">
        <f t="shared" si="33"/>
        <v>4541.666667</v>
      </c>
      <c r="AD11" s="20">
        <f t="shared" si="22"/>
        <v>13625</v>
      </c>
      <c r="AE11" s="19">
        <f t="shared" ref="AE11:AG11" si="34">IF($E11&lt;=AE$8, $D11/12, 0)</f>
        <v>4541.666667</v>
      </c>
      <c r="AF11" s="19">
        <f t="shared" si="34"/>
        <v>4541.666667</v>
      </c>
      <c r="AG11" s="19">
        <f t="shared" si="34"/>
        <v>4541.666667</v>
      </c>
      <c r="AH11" s="20">
        <f t="shared" si="24"/>
        <v>13625</v>
      </c>
      <c r="AI11" s="19">
        <f t="shared" ref="AI11:AK11" si="35">IF($E11&lt;=AI$8, $D11/12, 0)</f>
        <v>4541.666667</v>
      </c>
      <c r="AJ11" s="19">
        <f t="shared" si="35"/>
        <v>4541.666667</v>
      </c>
      <c r="AK11" s="19">
        <f t="shared" si="35"/>
        <v>4541.666667</v>
      </c>
      <c r="AL11" s="20">
        <f t="shared" si="26"/>
        <v>13625</v>
      </c>
      <c r="AM11" s="21">
        <f t="shared" si="27"/>
        <v>54500</v>
      </c>
    </row>
    <row r="12" ht="15.75" customHeight="1">
      <c r="A12" s="15" t="s">
        <v>23</v>
      </c>
      <c r="B12" s="16">
        <v>0.0</v>
      </c>
      <c r="C12" s="17">
        <v>0.09</v>
      </c>
      <c r="D12" s="16">
        <f t="shared" si="9"/>
        <v>0</v>
      </c>
      <c r="E12" s="22"/>
      <c r="F12" s="19">
        <f t="shared" ref="F12:H12" si="36">IF($E12&lt;=F$8, $D12/12, 0)</f>
        <v>0</v>
      </c>
      <c r="G12" s="19">
        <f t="shared" si="36"/>
        <v>0</v>
      </c>
      <c r="H12" s="19">
        <f t="shared" si="36"/>
        <v>0</v>
      </c>
      <c r="I12" s="20">
        <f t="shared" si="11"/>
        <v>0</v>
      </c>
      <c r="J12" s="19">
        <f t="shared" ref="J12:L12" si="37">IF($E12&lt;=J$8, $D12/12, 0)</f>
        <v>0</v>
      </c>
      <c r="K12" s="19">
        <f t="shared" si="37"/>
        <v>0</v>
      </c>
      <c r="L12" s="19">
        <f t="shared" si="37"/>
        <v>0</v>
      </c>
      <c r="M12" s="20">
        <f t="shared" si="13"/>
        <v>0</v>
      </c>
      <c r="N12" s="19">
        <f t="shared" ref="N12:P12" si="38">IF($E12&lt;=N$8, $D12/12, 0)</f>
        <v>0</v>
      </c>
      <c r="O12" s="19">
        <f t="shared" si="38"/>
        <v>0</v>
      </c>
      <c r="P12" s="19">
        <f t="shared" si="38"/>
        <v>0</v>
      </c>
      <c r="Q12" s="20">
        <f t="shared" si="15"/>
        <v>0</v>
      </c>
      <c r="R12" s="19">
        <f t="shared" ref="R12:T12" si="39">IF($E12&lt;=R$8, $D12/12, 0)</f>
        <v>0</v>
      </c>
      <c r="S12" s="19">
        <f t="shared" si="39"/>
        <v>0</v>
      </c>
      <c r="T12" s="19">
        <f t="shared" si="39"/>
        <v>0</v>
      </c>
      <c r="U12" s="20">
        <f t="shared" si="17"/>
        <v>0</v>
      </c>
      <c r="V12" s="21">
        <f t="shared" si="18"/>
        <v>0</v>
      </c>
      <c r="W12" s="19">
        <f t="shared" ref="W12:Y12" si="40">IF($E12&lt;=W$8, $D12/12, 0)</f>
        <v>0</v>
      </c>
      <c r="X12" s="19">
        <f t="shared" si="40"/>
        <v>0</v>
      </c>
      <c r="Y12" s="19">
        <f t="shared" si="40"/>
        <v>0</v>
      </c>
      <c r="Z12" s="20">
        <f t="shared" si="20"/>
        <v>0</v>
      </c>
      <c r="AA12" s="19">
        <f t="shared" ref="AA12:AC12" si="41">IF($E12&lt;=AA$8, $D12/12, 0)</f>
        <v>0</v>
      </c>
      <c r="AB12" s="19">
        <f t="shared" si="41"/>
        <v>0</v>
      </c>
      <c r="AC12" s="19">
        <f t="shared" si="41"/>
        <v>0</v>
      </c>
      <c r="AD12" s="20">
        <f t="shared" si="22"/>
        <v>0</v>
      </c>
      <c r="AE12" s="19">
        <f t="shared" ref="AE12:AG12" si="42">IF($E12&lt;=AE$8, $D12/12, 0)</f>
        <v>0</v>
      </c>
      <c r="AF12" s="19">
        <f t="shared" si="42"/>
        <v>0</v>
      </c>
      <c r="AG12" s="19">
        <f t="shared" si="42"/>
        <v>0</v>
      </c>
      <c r="AH12" s="20">
        <f t="shared" si="24"/>
        <v>0</v>
      </c>
      <c r="AI12" s="19">
        <f t="shared" ref="AI12:AK12" si="43">IF($E12&lt;=AI$8, $D12/12, 0)</f>
        <v>0</v>
      </c>
      <c r="AJ12" s="19">
        <f t="shared" si="43"/>
        <v>0</v>
      </c>
      <c r="AK12" s="19">
        <f t="shared" si="43"/>
        <v>0</v>
      </c>
      <c r="AL12" s="20">
        <f t="shared" si="26"/>
        <v>0</v>
      </c>
      <c r="AM12" s="21">
        <f t="shared" si="27"/>
        <v>0</v>
      </c>
    </row>
    <row r="13" ht="15.75" customHeight="1">
      <c r="A13" s="15" t="s">
        <v>24</v>
      </c>
      <c r="B13" s="16">
        <v>0.0</v>
      </c>
      <c r="C13" s="17">
        <v>0.09</v>
      </c>
      <c r="D13" s="16">
        <f t="shared" si="9"/>
        <v>0</v>
      </c>
      <c r="E13" s="22"/>
      <c r="F13" s="19">
        <f t="shared" ref="F13:H13" si="44">IF($E13&lt;=F$8, $D13/12, 0)</f>
        <v>0</v>
      </c>
      <c r="G13" s="19">
        <f t="shared" si="44"/>
        <v>0</v>
      </c>
      <c r="H13" s="19">
        <f t="shared" si="44"/>
        <v>0</v>
      </c>
      <c r="I13" s="20">
        <f t="shared" si="11"/>
        <v>0</v>
      </c>
      <c r="J13" s="19">
        <f t="shared" ref="J13:L13" si="45">IF($E13&lt;=J$8, $D13/12, 0)</f>
        <v>0</v>
      </c>
      <c r="K13" s="19">
        <f t="shared" si="45"/>
        <v>0</v>
      </c>
      <c r="L13" s="19">
        <f t="shared" si="45"/>
        <v>0</v>
      </c>
      <c r="M13" s="20">
        <f t="shared" si="13"/>
        <v>0</v>
      </c>
      <c r="N13" s="19">
        <f t="shared" ref="N13:P13" si="46">IF($E13&lt;=N$8, $D13/12, 0)</f>
        <v>0</v>
      </c>
      <c r="O13" s="19">
        <f t="shared" si="46"/>
        <v>0</v>
      </c>
      <c r="P13" s="19">
        <f t="shared" si="46"/>
        <v>0</v>
      </c>
      <c r="Q13" s="20">
        <f t="shared" si="15"/>
        <v>0</v>
      </c>
      <c r="R13" s="19">
        <f t="shared" ref="R13:T13" si="47">IF($E13&lt;=R$8, $D13/12, 0)</f>
        <v>0</v>
      </c>
      <c r="S13" s="19">
        <f t="shared" si="47"/>
        <v>0</v>
      </c>
      <c r="T13" s="19">
        <f t="shared" si="47"/>
        <v>0</v>
      </c>
      <c r="U13" s="20">
        <f t="shared" si="17"/>
        <v>0</v>
      </c>
      <c r="V13" s="21">
        <f t="shared" si="18"/>
        <v>0</v>
      </c>
      <c r="W13" s="19">
        <f t="shared" ref="W13:Y13" si="48">IF($E13&lt;=W$8, $D13/12, 0)</f>
        <v>0</v>
      </c>
      <c r="X13" s="19">
        <f t="shared" si="48"/>
        <v>0</v>
      </c>
      <c r="Y13" s="19">
        <f t="shared" si="48"/>
        <v>0</v>
      </c>
      <c r="Z13" s="20">
        <f t="shared" si="20"/>
        <v>0</v>
      </c>
      <c r="AA13" s="19">
        <f t="shared" ref="AA13:AC13" si="49">IF($E13&lt;=AA$8, $D13/12, 0)</f>
        <v>0</v>
      </c>
      <c r="AB13" s="19">
        <f t="shared" si="49"/>
        <v>0</v>
      </c>
      <c r="AC13" s="19">
        <f t="shared" si="49"/>
        <v>0</v>
      </c>
      <c r="AD13" s="20">
        <f t="shared" si="22"/>
        <v>0</v>
      </c>
      <c r="AE13" s="19">
        <f t="shared" ref="AE13:AG13" si="50">IF($E13&lt;=AE$8, $D13/12, 0)</f>
        <v>0</v>
      </c>
      <c r="AF13" s="19">
        <f t="shared" si="50"/>
        <v>0</v>
      </c>
      <c r="AG13" s="19">
        <f t="shared" si="50"/>
        <v>0</v>
      </c>
      <c r="AH13" s="20">
        <f t="shared" si="24"/>
        <v>0</v>
      </c>
      <c r="AI13" s="19">
        <f t="shared" ref="AI13:AK13" si="51">IF($E13&lt;=AI$8, $D13/12, 0)</f>
        <v>0</v>
      </c>
      <c r="AJ13" s="19">
        <f t="shared" si="51"/>
        <v>0</v>
      </c>
      <c r="AK13" s="19">
        <f t="shared" si="51"/>
        <v>0</v>
      </c>
      <c r="AL13" s="20">
        <f t="shared" si="26"/>
        <v>0</v>
      </c>
      <c r="AM13" s="21">
        <f t="shared" si="27"/>
        <v>0</v>
      </c>
    </row>
    <row r="14" ht="15.75" customHeight="1">
      <c r="A14" s="15" t="s">
        <v>25</v>
      </c>
      <c r="B14" s="16">
        <v>0.0</v>
      </c>
      <c r="C14" s="17">
        <v>0.09</v>
      </c>
      <c r="D14" s="16">
        <f t="shared" si="9"/>
        <v>0</v>
      </c>
      <c r="E14" s="22"/>
      <c r="F14" s="19">
        <f t="shared" ref="F14:H14" si="52">IF($E14&lt;=F$8, $D14/12, 0)</f>
        <v>0</v>
      </c>
      <c r="G14" s="19">
        <f t="shared" si="52"/>
        <v>0</v>
      </c>
      <c r="H14" s="19">
        <f t="shared" si="52"/>
        <v>0</v>
      </c>
      <c r="I14" s="20">
        <f t="shared" si="11"/>
        <v>0</v>
      </c>
      <c r="J14" s="19">
        <f t="shared" ref="J14:L14" si="53">IF($E14&lt;=J$8, $D14/12, 0)</f>
        <v>0</v>
      </c>
      <c r="K14" s="19">
        <f t="shared" si="53"/>
        <v>0</v>
      </c>
      <c r="L14" s="19">
        <f t="shared" si="53"/>
        <v>0</v>
      </c>
      <c r="M14" s="20">
        <f t="shared" si="13"/>
        <v>0</v>
      </c>
      <c r="N14" s="19">
        <f t="shared" ref="N14:P14" si="54">IF($E14&lt;=N$8, $D14/12, 0)</f>
        <v>0</v>
      </c>
      <c r="O14" s="19">
        <f t="shared" si="54"/>
        <v>0</v>
      </c>
      <c r="P14" s="19">
        <f t="shared" si="54"/>
        <v>0</v>
      </c>
      <c r="Q14" s="20">
        <f t="shared" si="15"/>
        <v>0</v>
      </c>
      <c r="R14" s="19">
        <f t="shared" ref="R14:T14" si="55">IF($E14&lt;=R$8, $D14/12, 0)</f>
        <v>0</v>
      </c>
      <c r="S14" s="19">
        <f t="shared" si="55"/>
        <v>0</v>
      </c>
      <c r="T14" s="19">
        <f t="shared" si="55"/>
        <v>0</v>
      </c>
      <c r="U14" s="20">
        <f t="shared" si="17"/>
        <v>0</v>
      </c>
      <c r="V14" s="21">
        <f t="shared" si="18"/>
        <v>0</v>
      </c>
      <c r="W14" s="19">
        <f t="shared" ref="W14:Y14" si="56">IF($E14&lt;=W$8, $D14/12, 0)</f>
        <v>0</v>
      </c>
      <c r="X14" s="19">
        <f t="shared" si="56"/>
        <v>0</v>
      </c>
      <c r="Y14" s="19">
        <f t="shared" si="56"/>
        <v>0</v>
      </c>
      <c r="Z14" s="20">
        <f t="shared" si="20"/>
        <v>0</v>
      </c>
      <c r="AA14" s="19">
        <f t="shared" ref="AA14:AC14" si="57">IF($E14&lt;=AA$8, $D14/12, 0)</f>
        <v>0</v>
      </c>
      <c r="AB14" s="19">
        <f t="shared" si="57"/>
        <v>0</v>
      </c>
      <c r="AC14" s="19">
        <f t="shared" si="57"/>
        <v>0</v>
      </c>
      <c r="AD14" s="20">
        <f t="shared" si="22"/>
        <v>0</v>
      </c>
      <c r="AE14" s="19">
        <f t="shared" ref="AE14:AG14" si="58">IF($E14&lt;=AE$8, $D14/12, 0)</f>
        <v>0</v>
      </c>
      <c r="AF14" s="19">
        <f t="shared" si="58"/>
        <v>0</v>
      </c>
      <c r="AG14" s="19">
        <f t="shared" si="58"/>
        <v>0</v>
      </c>
      <c r="AH14" s="20">
        <f t="shared" si="24"/>
        <v>0</v>
      </c>
      <c r="AI14" s="19">
        <f t="shared" ref="AI14:AK14" si="59">IF($E14&lt;=AI$8, $D14/12, 0)</f>
        <v>0</v>
      </c>
      <c r="AJ14" s="19">
        <f t="shared" si="59"/>
        <v>0</v>
      </c>
      <c r="AK14" s="19">
        <f t="shared" si="59"/>
        <v>0</v>
      </c>
      <c r="AL14" s="20">
        <f t="shared" si="26"/>
        <v>0</v>
      </c>
      <c r="AM14" s="21">
        <f t="shared" si="27"/>
        <v>0</v>
      </c>
    </row>
    <row r="15" ht="15.75" customHeight="1">
      <c r="A15" s="15" t="s">
        <v>26</v>
      </c>
      <c r="B15" s="16">
        <v>0.0</v>
      </c>
      <c r="C15" s="17">
        <v>0.09</v>
      </c>
      <c r="D15" s="16">
        <f t="shared" si="9"/>
        <v>0</v>
      </c>
      <c r="E15" s="22"/>
      <c r="F15" s="19">
        <f t="shared" ref="F15:H15" si="60">IF($E15&lt;=F$8, $D15/12, 0)</f>
        <v>0</v>
      </c>
      <c r="G15" s="19">
        <f t="shared" si="60"/>
        <v>0</v>
      </c>
      <c r="H15" s="19">
        <f t="shared" si="60"/>
        <v>0</v>
      </c>
      <c r="I15" s="20">
        <f t="shared" si="11"/>
        <v>0</v>
      </c>
      <c r="J15" s="19">
        <f t="shared" ref="J15:L15" si="61">IF($E15&lt;=J$8, $D15/12, 0)</f>
        <v>0</v>
      </c>
      <c r="K15" s="19">
        <f t="shared" si="61"/>
        <v>0</v>
      </c>
      <c r="L15" s="19">
        <f t="shared" si="61"/>
        <v>0</v>
      </c>
      <c r="M15" s="20">
        <f t="shared" si="13"/>
        <v>0</v>
      </c>
      <c r="N15" s="19">
        <f t="shared" ref="N15:P15" si="62">IF($E15&lt;=N$8, $D15/12, 0)</f>
        <v>0</v>
      </c>
      <c r="O15" s="19">
        <f t="shared" si="62"/>
        <v>0</v>
      </c>
      <c r="P15" s="19">
        <f t="shared" si="62"/>
        <v>0</v>
      </c>
      <c r="Q15" s="20">
        <f t="shared" si="15"/>
        <v>0</v>
      </c>
      <c r="R15" s="19">
        <f t="shared" ref="R15:T15" si="63">IF($E15&lt;=R$8, $D15/12, 0)</f>
        <v>0</v>
      </c>
      <c r="S15" s="19">
        <f t="shared" si="63"/>
        <v>0</v>
      </c>
      <c r="T15" s="19">
        <f t="shared" si="63"/>
        <v>0</v>
      </c>
      <c r="U15" s="20">
        <f t="shared" si="17"/>
        <v>0</v>
      </c>
      <c r="V15" s="21">
        <f t="shared" si="18"/>
        <v>0</v>
      </c>
      <c r="W15" s="19">
        <f t="shared" ref="W15:Y15" si="64">IF($E15&lt;=W$8, $D15/12, 0)</f>
        <v>0</v>
      </c>
      <c r="X15" s="19">
        <f t="shared" si="64"/>
        <v>0</v>
      </c>
      <c r="Y15" s="19">
        <f t="shared" si="64"/>
        <v>0</v>
      </c>
      <c r="Z15" s="20">
        <f t="shared" si="20"/>
        <v>0</v>
      </c>
      <c r="AA15" s="19">
        <f t="shared" ref="AA15:AC15" si="65">IF($E15&lt;=AA$8, $D15/12, 0)</f>
        <v>0</v>
      </c>
      <c r="AB15" s="19">
        <f t="shared" si="65"/>
        <v>0</v>
      </c>
      <c r="AC15" s="19">
        <f t="shared" si="65"/>
        <v>0</v>
      </c>
      <c r="AD15" s="20">
        <f t="shared" si="22"/>
        <v>0</v>
      </c>
      <c r="AE15" s="19">
        <f t="shared" ref="AE15:AG15" si="66">IF($E15&lt;=AE$8, $D15/12, 0)</f>
        <v>0</v>
      </c>
      <c r="AF15" s="19">
        <f t="shared" si="66"/>
        <v>0</v>
      </c>
      <c r="AG15" s="19">
        <f t="shared" si="66"/>
        <v>0</v>
      </c>
      <c r="AH15" s="20">
        <f t="shared" si="24"/>
        <v>0</v>
      </c>
      <c r="AI15" s="19">
        <f t="shared" ref="AI15:AK15" si="67">IF($E15&lt;=AI$8, $D15/12, 0)</f>
        <v>0</v>
      </c>
      <c r="AJ15" s="19">
        <f t="shared" si="67"/>
        <v>0</v>
      </c>
      <c r="AK15" s="19">
        <f t="shared" si="67"/>
        <v>0</v>
      </c>
      <c r="AL15" s="20">
        <f t="shared" si="26"/>
        <v>0</v>
      </c>
      <c r="AM15" s="21">
        <f t="shared" si="27"/>
        <v>0</v>
      </c>
    </row>
    <row r="16" ht="15.75" customHeight="1">
      <c r="A16" s="15" t="s">
        <v>27</v>
      </c>
      <c r="B16" s="16">
        <v>0.0</v>
      </c>
      <c r="C16" s="17">
        <v>0.09</v>
      </c>
      <c r="D16" s="16">
        <f t="shared" si="9"/>
        <v>0</v>
      </c>
      <c r="E16" s="22"/>
      <c r="F16" s="19">
        <f t="shared" ref="F16:H16" si="68">IF($E16&lt;=F$8, $D16/12, 0)</f>
        <v>0</v>
      </c>
      <c r="G16" s="19">
        <f t="shared" si="68"/>
        <v>0</v>
      </c>
      <c r="H16" s="19">
        <f t="shared" si="68"/>
        <v>0</v>
      </c>
      <c r="I16" s="20">
        <f t="shared" si="11"/>
        <v>0</v>
      </c>
      <c r="J16" s="19">
        <f t="shared" ref="J16:L16" si="69">IF($E16&lt;=J$8, $D16/12, 0)</f>
        <v>0</v>
      </c>
      <c r="K16" s="19">
        <f t="shared" si="69"/>
        <v>0</v>
      </c>
      <c r="L16" s="19">
        <f t="shared" si="69"/>
        <v>0</v>
      </c>
      <c r="M16" s="20">
        <f t="shared" si="13"/>
        <v>0</v>
      </c>
      <c r="N16" s="19">
        <f t="shared" ref="N16:P16" si="70">IF($E16&lt;=N$8, $D16/12, 0)</f>
        <v>0</v>
      </c>
      <c r="O16" s="19">
        <f t="shared" si="70"/>
        <v>0</v>
      </c>
      <c r="P16" s="19">
        <f t="shared" si="70"/>
        <v>0</v>
      </c>
      <c r="Q16" s="20">
        <f t="shared" si="15"/>
        <v>0</v>
      </c>
      <c r="R16" s="19">
        <f t="shared" ref="R16:T16" si="71">IF($E16&lt;=R$8, $D16/12, 0)</f>
        <v>0</v>
      </c>
      <c r="S16" s="19">
        <f t="shared" si="71"/>
        <v>0</v>
      </c>
      <c r="T16" s="19">
        <f t="shared" si="71"/>
        <v>0</v>
      </c>
      <c r="U16" s="20">
        <f t="shared" si="17"/>
        <v>0</v>
      </c>
      <c r="V16" s="21">
        <f t="shared" si="18"/>
        <v>0</v>
      </c>
      <c r="W16" s="19">
        <f t="shared" ref="W16:Y16" si="72">IF($E16&lt;=W$8, $D16/12, 0)</f>
        <v>0</v>
      </c>
      <c r="X16" s="19">
        <f t="shared" si="72"/>
        <v>0</v>
      </c>
      <c r="Y16" s="19">
        <f t="shared" si="72"/>
        <v>0</v>
      </c>
      <c r="Z16" s="20">
        <f t="shared" si="20"/>
        <v>0</v>
      </c>
      <c r="AA16" s="19">
        <f t="shared" ref="AA16:AC16" si="73">IF($E16&lt;=AA$8, $D16/12, 0)</f>
        <v>0</v>
      </c>
      <c r="AB16" s="19">
        <f t="shared" si="73"/>
        <v>0</v>
      </c>
      <c r="AC16" s="19">
        <f t="shared" si="73"/>
        <v>0</v>
      </c>
      <c r="AD16" s="20">
        <f t="shared" si="22"/>
        <v>0</v>
      </c>
      <c r="AE16" s="19">
        <f t="shared" ref="AE16:AG16" si="74">IF($E16&lt;=AE$8, $D16/12, 0)</f>
        <v>0</v>
      </c>
      <c r="AF16" s="19">
        <f t="shared" si="74"/>
        <v>0</v>
      </c>
      <c r="AG16" s="19">
        <f t="shared" si="74"/>
        <v>0</v>
      </c>
      <c r="AH16" s="20">
        <f t="shared" si="24"/>
        <v>0</v>
      </c>
      <c r="AI16" s="19">
        <f t="shared" ref="AI16:AK16" si="75">IF($E16&lt;=AI$8, $D16/12, 0)</f>
        <v>0</v>
      </c>
      <c r="AJ16" s="19">
        <f t="shared" si="75"/>
        <v>0</v>
      </c>
      <c r="AK16" s="19">
        <f t="shared" si="75"/>
        <v>0</v>
      </c>
      <c r="AL16" s="20">
        <f t="shared" si="26"/>
        <v>0</v>
      </c>
      <c r="AM16" s="21">
        <f t="shared" si="27"/>
        <v>0</v>
      </c>
    </row>
    <row r="17" ht="15.75" customHeight="1">
      <c r="A17" s="15" t="s">
        <v>27</v>
      </c>
      <c r="B17" s="16">
        <v>0.0</v>
      </c>
      <c r="C17" s="17">
        <v>0.09</v>
      </c>
      <c r="D17" s="16">
        <f t="shared" si="9"/>
        <v>0</v>
      </c>
      <c r="E17" s="22"/>
      <c r="F17" s="19">
        <f t="shared" ref="F17:H17" si="76">IF($E17&lt;=F$8, $D17/12, 0)</f>
        <v>0</v>
      </c>
      <c r="G17" s="19">
        <f t="shared" si="76"/>
        <v>0</v>
      </c>
      <c r="H17" s="19">
        <f t="shared" si="76"/>
        <v>0</v>
      </c>
      <c r="I17" s="20">
        <f t="shared" si="11"/>
        <v>0</v>
      </c>
      <c r="J17" s="19">
        <f t="shared" ref="J17:L17" si="77">IF($E17&lt;=J$8, $D17/12, 0)</f>
        <v>0</v>
      </c>
      <c r="K17" s="19">
        <f t="shared" si="77"/>
        <v>0</v>
      </c>
      <c r="L17" s="19">
        <f t="shared" si="77"/>
        <v>0</v>
      </c>
      <c r="M17" s="20">
        <f t="shared" si="13"/>
        <v>0</v>
      </c>
      <c r="N17" s="19">
        <f t="shared" ref="N17:P17" si="78">IF($E17&lt;=N$8, $D17/12, 0)</f>
        <v>0</v>
      </c>
      <c r="O17" s="19">
        <f t="shared" si="78"/>
        <v>0</v>
      </c>
      <c r="P17" s="19">
        <f t="shared" si="78"/>
        <v>0</v>
      </c>
      <c r="Q17" s="20">
        <f t="shared" si="15"/>
        <v>0</v>
      </c>
      <c r="R17" s="19">
        <f t="shared" ref="R17:T17" si="79">IF($E17&lt;=R$8, $D17/12, 0)</f>
        <v>0</v>
      </c>
      <c r="S17" s="19">
        <f t="shared" si="79"/>
        <v>0</v>
      </c>
      <c r="T17" s="19">
        <f t="shared" si="79"/>
        <v>0</v>
      </c>
      <c r="U17" s="20">
        <f t="shared" si="17"/>
        <v>0</v>
      </c>
      <c r="V17" s="21">
        <f t="shared" si="18"/>
        <v>0</v>
      </c>
      <c r="W17" s="19">
        <f t="shared" ref="W17:Y17" si="80">IF($E17&lt;=W$8, $D17/12, 0)</f>
        <v>0</v>
      </c>
      <c r="X17" s="19">
        <f t="shared" si="80"/>
        <v>0</v>
      </c>
      <c r="Y17" s="19">
        <f t="shared" si="80"/>
        <v>0</v>
      </c>
      <c r="Z17" s="20">
        <f t="shared" si="20"/>
        <v>0</v>
      </c>
      <c r="AA17" s="19">
        <f t="shared" ref="AA17:AC17" si="81">IF($E17&lt;=AA$8, $D17/12, 0)</f>
        <v>0</v>
      </c>
      <c r="AB17" s="19">
        <f t="shared" si="81"/>
        <v>0</v>
      </c>
      <c r="AC17" s="19">
        <f t="shared" si="81"/>
        <v>0</v>
      </c>
      <c r="AD17" s="20">
        <f t="shared" si="22"/>
        <v>0</v>
      </c>
      <c r="AE17" s="19">
        <f t="shared" ref="AE17:AG17" si="82">IF($E17&lt;=AE$8, $D17/12, 0)</f>
        <v>0</v>
      </c>
      <c r="AF17" s="19">
        <f t="shared" si="82"/>
        <v>0</v>
      </c>
      <c r="AG17" s="19">
        <f t="shared" si="82"/>
        <v>0</v>
      </c>
      <c r="AH17" s="20">
        <f t="shared" si="24"/>
        <v>0</v>
      </c>
      <c r="AI17" s="19">
        <f t="shared" ref="AI17:AK17" si="83">IF($E17&lt;=AI$8, $D17/12, 0)</f>
        <v>0</v>
      </c>
      <c r="AJ17" s="19">
        <f t="shared" si="83"/>
        <v>0</v>
      </c>
      <c r="AK17" s="19">
        <f t="shared" si="83"/>
        <v>0</v>
      </c>
      <c r="AL17" s="20">
        <f t="shared" si="26"/>
        <v>0</v>
      </c>
      <c r="AM17" s="21">
        <f t="shared" si="27"/>
        <v>0</v>
      </c>
    </row>
    <row r="18" ht="15.75" customHeight="1">
      <c r="A18" s="15" t="s">
        <v>27</v>
      </c>
      <c r="B18" s="16">
        <v>0.0</v>
      </c>
      <c r="C18" s="17">
        <v>0.09</v>
      </c>
      <c r="D18" s="16">
        <f t="shared" si="9"/>
        <v>0</v>
      </c>
      <c r="E18" s="22"/>
      <c r="F18" s="19">
        <f t="shared" ref="F18:H18" si="84">IF($E18&lt;=F$8, $D18/12, 0)</f>
        <v>0</v>
      </c>
      <c r="G18" s="19">
        <f t="shared" si="84"/>
        <v>0</v>
      </c>
      <c r="H18" s="19">
        <f t="shared" si="84"/>
        <v>0</v>
      </c>
      <c r="I18" s="20">
        <f t="shared" si="11"/>
        <v>0</v>
      </c>
      <c r="J18" s="19">
        <f t="shared" ref="J18:L18" si="85">IF($E18&lt;=J$8, $D18/12, 0)</f>
        <v>0</v>
      </c>
      <c r="K18" s="19">
        <f t="shared" si="85"/>
        <v>0</v>
      </c>
      <c r="L18" s="19">
        <f t="shared" si="85"/>
        <v>0</v>
      </c>
      <c r="M18" s="20">
        <f t="shared" si="13"/>
        <v>0</v>
      </c>
      <c r="N18" s="19">
        <f t="shared" ref="N18:P18" si="86">IF($E18&lt;=N$8, $D18/12, 0)</f>
        <v>0</v>
      </c>
      <c r="O18" s="19">
        <f t="shared" si="86"/>
        <v>0</v>
      </c>
      <c r="P18" s="19">
        <f t="shared" si="86"/>
        <v>0</v>
      </c>
      <c r="Q18" s="20">
        <f t="shared" si="15"/>
        <v>0</v>
      </c>
      <c r="R18" s="19">
        <f t="shared" ref="R18:T18" si="87">IF($E18&lt;=R$8, $D18/12, 0)</f>
        <v>0</v>
      </c>
      <c r="S18" s="19">
        <f t="shared" si="87"/>
        <v>0</v>
      </c>
      <c r="T18" s="19">
        <f t="shared" si="87"/>
        <v>0</v>
      </c>
      <c r="U18" s="20">
        <f t="shared" si="17"/>
        <v>0</v>
      </c>
      <c r="V18" s="21">
        <f t="shared" si="18"/>
        <v>0</v>
      </c>
      <c r="W18" s="19">
        <f t="shared" ref="W18:Y18" si="88">IF($E18&lt;=W$8, $D18/12, 0)</f>
        <v>0</v>
      </c>
      <c r="X18" s="19">
        <f t="shared" si="88"/>
        <v>0</v>
      </c>
      <c r="Y18" s="19">
        <f t="shared" si="88"/>
        <v>0</v>
      </c>
      <c r="Z18" s="20">
        <f t="shared" si="20"/>
        <v>0</v>
      </c>
      <c r="AA18" s="19">
        <f t="shared" ref="AA18:AC18" si="89">IF($E18&lt;=AA$8, $D18/12, 0)</f>
        <v>0</v>
      </c>
      <c r="AB18" s="19">
        <f t="shared" si="89"/>
        <v>0</v>
      </c>
      <c r="AC18" s="19">
        <f t="shared" si="89"/>
        <v>0</v>
      </c>
      <c r="AD18" s="20">
        <f t="shared" si="22"/>
        <v>0</v>
      </c>
      <c r="AE18" s="19">
        <f t="shared" ref="AE18:AG18" si="90">IF($E18&lt;=AE$8, $D18/12, 0)</f>
        <v>0</v>
      </c>
      <c r="AF18" s="19">
        <f t="shared" si="90"/>
        <v>0</v>
      </c>
      <c r="AG18" s="19">
        <f t="shared" si="90"/>
        <v>0</v>
      </c>
      <c r="AH18" s="20">
        <f t="shared" si="24"/>
        <v>0</v>
      </c>
      <c r="AI18" s="19">
        <f t="shared" ref="AI18:AK18" si="91">IF($E18&lt;=AI$8, $D18/12, 0)</f>
        <v>0</v>
      </c>
      <c r="AJ18" s="19">
        <f t="shared" si="91"/>
        <v>0</v>
      </c>
      <c r="AK18" s="19">
        <f t="shared" si="91"/>
        <v>0</v>
      </c>
      <c r="AL18" s="20">
        <f t="shared" si="26"/>
        <v>0</v>
      </c>
      <c r="AM18" s="21">
        <f t="shared" si="27"/>
        <v>0</v>
      </c>
    </row>
    <row r="19" ht="15.75" customHeight="1">
      <c r="A19" s="23" t="s">
        <v>28</v>
      </c>
      <c r="B19" s="24">
        <f>SUM(B9:B18)</f>
        <v>150000</v>
      </c>
      <c r="C19" s="25"/>
      <c r="D19" s="25"/>
      <c r="E19" s="25"/>
      <c r="F19" s="24">
        <f>SUM(F10:F18)</f>
        <v>4541.666667</v>
      </c>
      <c r="G19" s="24">
        <f t="shared" ref="G19:AM19" si="92">SUM(G9:G18)</f>
        <v>4541.666667</v>
      </c>
      <c r="H19" s="24">
        <f t="shared" si="92"/>
        <v>4541.666667</v>
      </c>
      <c r="I19" s="26">
        <f t="shared" si="92"/>
        <v>13625</v>
      </c>
      <c r="J19" s="24">
        <f t="shared" si="92"/>
        <v>4541.666667</v>
      </c>
      <c r="K19" s="24">
        <f t="shared" si="92"/>
        <v>4541.666667</v>
      </c>
      <c r="L19" s="24">
        <f t="shared" si="92"/>
        <v>4541.666667</v>
      </c>
      <c r="M19" s="26">
        <f t="shared" si="92"/>
        <v>13625</v>
      </c>
      <c r="N19" s="24">
        <f t="shared" si="92"/>
        <v>13625</v>
      </c>
      <c r="O19" s="24">
        <f t="shared" si="92"/>
        <v>13625</v>
      </c>
      <c r="P19" s="24">
        <f t="shared" si="92"/>
        <v>13625</v>
      </c>
      <c r="Q19" s="26">
        <f t="shared" si="92"/>
        <v>40875</v>
      </c>
      <c r="R19" s="24">
        <f t="shared" si="92"/>
        <v>13625</v>
      </c>
      <c r="S19" s="24">
        <f t="shared" si="92"/>
        <v>13625</v>
      </c>
      <c r="T19" s="24">
        <f t="shared" si="92"/>
        <v>13625</v>
      </c>
      <c r="U19" s="26">
        <f t="shared" si="92"/>
        <v>40875</v>
      </c>
      <c r="V19" s="27">
        <f t="shared" si="92"/>
        <v>109000</v>
      </c>
      <c r="W19" s="24">
        <f t="shared" si="92"/>
        <v>13625</v>
      </c>
      <c r="X19" s="24">
        <f t="shared" si="92"/>
        <v>13625</v>
      </c>
      <c r="Y19" s="24">
        <f t="shared" si="92"/>
        <v>13625</v>
      </c>
      <c r="Z19" s="26">
        <f t="shared" si="92"/>
        <v>40875</v>
      </c>
      <c r="AA19" s="24">
        <f t="shared" si="92"/>
        <v>13625</v>
      </c>
      <c r="AB19" s="24">
        <f t="shared" si="92"/>
        <v>13625</v>
      </c>
      <c r="AC19" s="24">
        <f t="shared" si="92"/>
        <v>13625</v>
      </c>
      <c r="AD19" s="26">
        <f t="shared" si="92"/>
        <v>40875</v>
      </c>
      <c r="AE19" s="24">
        <f t="shared" si="92"/>
        <v>13625</v>
      </c>
      <c r="AF19" s="24">
        <f t="shared" si="92"/>
        <v>13625</v>
      </c>
      <c r="AG19" s="24">
        <f t="shared" si="92"/>
        <v>13625</v>
      </c>
      <c r="AH19" s="26">
        <f t="shared" si="92"/>
        <v>40875</v>
      </c>
      <c r="AI19" s="24">
        <f t="shared" si="92"/>
        <v>13625</v>
      </c>
      <c r="AJ19" s="24">
        <f t="shared" si="92"/>
        <v>13625</v>
      </c>
      <c r="AK19" s="24">
        <f t="shared" si="92"/>
        <v>13625</v>
      </c>
      <c r="AL19" s="26">
        <f t="shared" si="92"/>
        <v>40875</v>
      </c>
      <c r="AM19" s="27">
        <f t="shared" si="92"/>
        <v>163500</v>
      </c>
    </row>
    <row r="20" ht="15.75" customHeight="1">
      <c r="A20" s="28" t="s">
        <v>29</v>
      </c>
      <c r="B20" s="29"/>
      <c r="C20" s="29"/>
      <c r="D20" s="29"/>
      <c r="E20" s="29"/>
      <c r="F20" s="29">
        <f>COUNTIF(F10:F18,"&gt;0")</f>
        <v>1</v>
      </c>
      <c r="G20" s="29">
        <f t="shared" ref="G20:V20" si="93">COUNTIF(G9:G18,"&gt;0")</f>
        <v>1</v>
      </c>
      <c r="H20" s="29">
        <f t="shared" si="93"/>
        <v>1</v>
      </c>
      <c r="I20" s="29">
        <f t="shared" si="93"/>
        <v>1</v>
      </c>
      <c r="J20" s="29">
        <f t="shared" si="93"/>
        <v>1</v>
      </c>
      <c r="K20" s="29">
        <f t="shared" si="93"/>
        <v>1</v>
      </c>
      <c r="L20" s="29">
        <f t="shared" si="93"/>
        <v>1</v>
      </c>
      <c r="M20" s="29">
        <f t="shared" si="93"/>
        <v>1</v>
      </c>
      <c r="N20" s="29">
        <f t="shared" si="93"/>
        <v>3</v>
      </c>
      <c r="O20" s="29">
        <f t="shared" si="93"/>
        <v>3</v>
      </c>
      <c r="P20" s="29">
        <f t="shared" si="93"/>
        <v>3</v>
      </c>
      <c r="Q20" s="29">
        <f t="shared" si="93"/>
        <v>3</v>
      </c>
      <c r="R20" s="29">
        <f t="shared" si="93"/>
        <v>3</v>
      </c>
      <c r="S20" s="29">
        <f t="shared" si="93"/>
        <v>3</v>
      </c>
      <c r="T20" s="29">
        <f t="shared" si="93"/>
        <v>3</v>
      </c>
      <c r="U20" s="29">
        <f t="shared" si="93"/>
        <v>3</v>
      </c>
      <c r="V20" s="30">
        <f t="shared" si="93"/>
        <v>3</v>
      </c>
      <c r="W20" s="29">
        <f>COUNTIF(W10:W18,"&gt;0")</f>
        <v>2</v>
      </c>
      <c r="X20" s="29">
        <f t="shared" ref="X20:AM20" si="94">COUNTIF(X9:X18,"&gt;0")</f>
        <v>3</v>
      </c>
      <c r="Y20" s="29">
        <f t="shared" si="94"/>
        <v>3</v>
      </c>
      <c r="Z20" s="29">
        <f t="shared" si="94"/>
        <v>3</v>
      </c>
      <c r="AA20" s="29">
        <f t="shared" si="94"/>
        <v>3</v>
      </c>
      <c r="AB20" s="29">
        <f t="shared" si="94"/>
        <v>3</v>
      </c>
      <c r="AC20" s="29">
        <f t="shared" si="94"/>
        <v>3</v>
      </c>
      <c r="AD20" s="29">
        <f t="shared" si="94"/>
        <v>3</v>
      </c>
      <c r="AE20" s="29">
        <f t="shared" si="94"/>
        <v>3</v>
      </c>
      <c r="AF20" s="29">
        <f t="shared" si="94"/>
        <v>3</v>
      </c>
      <c r="AG20" s="29">
        <f t="shared" si="94"/>
        <v>3</v>
      </c>
      <c r="AH20" s="29">
        <f t="shared" si="94"/>
        <v>3</v>
      </c>
      <c r="AI20" s="29">
        <f t="shared" si="94"/>
        <v>3</v>
      </c>
      <c r="AJ20" s="29">
        <f t="shared" si="94"/>
        <v>3</v>
      </c>
      <c r="AK20" s="29">
        <f t="shared" si="94"/>
        <v>3</v>
      </c>
      <c r="AL20" s="29">
        <f t="shared" si="94"/>
        <v>3</v>
      </c>
      <c r="AM20" s="30">
        <f t="shared" si="94"/>
        <v>3</v>
      </c>
    </row>
    <row r="21" ht="15.75" customHeight="1"/>
    <row r="22" ht="15.75" customHeight="1"/>
    <row r="23" ht="18.75" customHeight="1">
      <c r="A23" s="31" t="s">
        <v>30</v>
      </c>
    </row>
    <row r="24" ht="15.75" customHeight="1">
      <c r="A24" s="9" t="s">
        <v>5</v>
      </c>
      <c r="B24" s="10" t="s">
        <v>31</v>
      </c>
      <c r="C24" s="32"/>
      <c r="D24" s="32"/>
      <c r="E24" s="11" t="s">
        <v>32</v>
      </c>
      <c r="F24" s="12">
        <v>46037.0</v>
      </c>
      <c r="G24" s="12">
        <v>46068.0</v>
      </c>
      <c r="H24" s="12">
        <v>46096.0</v>
      </c>
      <c r="I24" s="13" t="s">
        <v>33</v>
      </c>
      <c r="J24" s="12">
        <v>46127.0</v>
      </c>
      <c r="K24" s="12">
        <v>46157.0</v>
      </c>
      <c r="L24" s="12">
        <v>46188.0</v>
      </c>
      <c r="M24" s="13" t="s">
        <v>11</v>
      </c>
      <c r="N24" s="12">
        <v>46218.0</v>
      </c>
      <c r="O24" s="12">
        <v>46249.0</v>
      </c>
      <c r="P24" s="12">
        <v>46280.0</v>
      </c>
      <c r="Q24" s="13" t="s">
        <v>12</v>
      </c>
      <c r="R24" s="12">
        <v>46310.0</v>
      </c>
      <c r="S24" s="12">
        <v>46341.0</v>
      </c>
      <c r="T24" s="12">
        <v>46371.0</v>
      </c>
      <c r="U24" s="13" t="s">
        <v>13</v>
      </c>
      <c r="V24" s="14" t="s">
        <v>14</v>
      </c>
      <c r="W24" s="12">
        <v>46402.0</v>
      </c>
      <c r="X24" s="12">
        <v>46433.0</v>
      </c>
      <c r="Y24" s="12">
        <v>46461.0</v>
      </c>
      <c r="Z24" s="13" t="s">
        <v>15</v>
      </c>
      <c r="AA24" s="12">
        <v>46492.0</v>
      </c>
      <c r="AB24" s="12">
        <v>46522.0</v>
      </c>
      <c r="AC24" s="12">
        <v>46553.0</v>
      </c>
      <c r="AD24" s="13" t="s">
        <v>16</v>
      </c>
      <c r="AE24" s="12">
        <v>46583.0</v>
      </c>
      <c r="AF24" s="12">
        <v>46614.0</v>
      </c>
      <c r="AG24" s="12">
        <v>46645.0</v>
      </c>
      <c r="AH24" s="13" t="s">
        <v>17</v>
      </c>
      <c r="AI24" s="12">
        <v>46675.0</v>
      </c>
      <c r="AJ24" s="12">
        <v>46706.0</v>
      </c>
      <c r="AK24" s="12">
        <v>46736.0</v>
      </c>
      <c r="AL24" s="13" t="s">
        <v>18</v>
      </c>
      <c r="AM24" s="14" t="s">
        <v>19</v>
      </c>
    </row>
    <row r="25" ht="15.75" customHeight="1">
      <c r="A25" s="33" t="s">
        <v>34</v>
      </c>
      <c r="B25" s="34">
        <v>1500.0</v>
      </c>
      <c r="C25" s="35"/>
      <c r="D25" s="35"/>
      <c r="E25" s="18">
        <v>46023.0</v>
      </c>
      <c r="F25" s="19">
        <f t="shared" ref="F25:H25" si="95">IF($E25&lt;=F$24, $B25/12, 0)</f>
        <v>125</v>
      </c>
      <c r="G25" s="19">
        <f t="shared" si="95"/>
        <v>125</v>
      </c>
      <c r="H25" s="19">
        <f t="shared" si="95"/>
        <v>125</v>
      </c>
      <c r="I25" s="20">
        <f t="shared" ref="I25:I28" si="104">SUM(F25:H25)</f>
        <v>375</v>
      </c>
      <c r="J25" s="19">
        <f t="shared" ref="J25:L25" si="96">IF($E25&lt;=J$24, $B25/12, 0)</f>
        <v>125</v>
      </c>
      <c r="K25" s="19">
        <f t="shared" si="96"/>
        <v>125</v>
      </c>
      <c r="L25" s="19">
        <f t="shared" si="96"/>
        <v>125</v>
      </c>
      <c r="M25" s="20">
        <f t="shared" ref="M25:M28" si="106">SUM(J25:L25)</f>
        <v>375</v>
      </c>
      <c r="N25" s="19">
        <f t="shared" ref="N25:P25" si="97">IF($E25&lt;=N$24, $B25/12, 0)</f>
        <v>125</v>
      </c>
      <c r="O25" s="19">
        <f t="shared" si="97"/>
        <v>125</v>
      </c>
      <c r="P25" s="19">
        <f t="shared" si="97"/>
        <v>125</v>
      </c>
      <c r="Q25" s="20">
        <f t="shared" ref="Q25:Q28" si="108">SUM(N25:P25)</f>
        <v>375</v>
      </c>
      <c r="R25" s="19">
        <f t="shared" ref="R25:T25" si="98">IF($E25&lt;=R$24, $B25/12, 0)</f>
        <v>125</v>
      </c>
      <c r="S25" s="19">
        <f t="shared" si="98"/>
        <v>125</v>
      </c>
      <c r="T25" s="19">
        <f t="shared" si="98"/>
        <v>125</v>
      </c>
      <c r="U25" s="20">
        <f t="shared" ref="U25:U28" si="110">SUM(R25:T25)</f>
        <v>375</v>
      </c>
      <c r="V25" s="19">
        <f t="shared" ref="V25:V28" si="111">I25+M25+Q25+U25</f>
        <v>1500</v>
      </c>
      <c r="W25" s="19">
        <f t="shared" ref="W25:Y25" si="99">IF($E25&lt;=W$24, $B25/12, 0)</f>
        <v>125</v>
      </c>
      <c r="X25" s="19">
        <f t="shared" si="99"/>
        <v>125</v>
      </c>
      <c r="Y25" s="19">
        <f t="shared" si="99"/>
        <v>125</v>
      </c>
      <c r="Z25" s="20">
        <f t="shared" ref="Z25:Z28" si="113">SUM(W25:Y25)</f>
        <v>375</v>
      </c>
      <c r="AA25" s="19">
        <f t="shared" ref="AA25:AC25" si="100">IF($E25&lt;=AA$24, $B25/12, 0)</f>
        <v>125</v>
      </c>
      <c r="AB25" s="19">
        <f t="shared" si="100"/>
        <v>125</v>
      </c>
      <c r="AC25" s="19">
        <f t="shared" si="100"/>
        <v>125</v>
      </c>
      <c r="AD25" s="20">
        <f t="shared" ref="AD25:AD28" si="115">SUM(AA25:AC25)</f>
        <v>375</v>
      </c>
      <c r="AE25" s="19">
        <f t="shared" ref="AE25:AG25" si="101">IF($E25&lt;=AE$24, $B25/12, 0)</f>
        <v>125</v>
      </c>
      <c r="AF25" s="19">
        <f t="shared" si="101"/>
        <v>125</v>
      </c>
      <c r="AG25" s="19">
        <f t="shared" si="101"/>
        <v>125</v>
      </c>
      <c r="AH25" s="20">
        <f t="shared" ref="AH25:AH28" si="117">SUM(AE25:AG25)</f>
        <v>375</v>
      </c>
      <c r="AI25" s="19">
        <f t="shared" ref="AI25:AK25" si="102">IF($E25&lt;=AI$24, $B25/12, 0)</f>
        <v>125</v>
      </c>
      <c r="AJ25" s="19">
        <f t="shared" si="102"/>
        <v>125</v>
      </c>
      <c r="AK25" s="19">
        <f t="shared" si="102"/>
        <v>125</v>
      </c>
      <c r="AL25" s="20">
        <f t="shared" ref="AL25:AL28" si="119">SUM(AI25:AK25)</f>
        <v>375</v>
      </c>
      <c r="AM25" s="19">
        <f t="shared" ref="AM25:AM28" si="120">Z25+AD25+AH25+AL25</f>
        <v>1500</v>
      </c>
    </row>
    <row r="26" ht="15.75" customHeight="1">
      <c r="A26" s="33" t="s">
        <v>27</v>
      </c>
      <c r="B26" s="34">
        <v>0.0</v>
      </c>
      <c r="C26" s="35"/>
      <c r="D26" s="35"/>
      <c r="E26" s="22">
        <v>45658.0</v>
      </c>
      <c r="F26" s="19">
        <f t="shared" ref="F26:H26" si="103">IF($E26&lt;=F$24, $B26/12, 0)</f>
        <v>0</v>
      </c>
      <c r="G26" s="19">
        <f t="shared" si="103"/>
        <v>0</v>
      </c>
      <c r="H26" s="19">
        <f t="shared" si="103"/>
        <v>0</v>
      </c>
      <c r="I26" s="20">
        <f t="shared" si="104"/>
        <v>0</v>
      </c>
      <c r="J26" s="19">
        <f t="shared" ref="J26:L26" si="105">IF($E26&lt;=J$24, $B26/12, 0)</f>
        <v>0</v>
      </c>
      <c r="K26" s="19">
        <f t="shared" si="105"/>
        <v>0</v>
      </c>
      <c r="L26" s="19">
        <f t="shared" si="105"/>
        <v>0</v>
      </c>
      <c r="M26" s="20">
        <f t="shared" si="106"/>
        <v>0</v>
      </c>
      <c r="N26" s="19">
        <f t="shared" ref="N26:P26" si="107">IF($E26&lt;=N$24, $B26/12, 0)</f>
        <v>0</v>
      </c>
      <c r="O26" s="19">
        <f t="shared" si="107"/>
        <v>0</v>
      </c>
      <c r="P26" s="19">
        <f t="shared" si="107"/>
        <v>0</v>
      </c>
      <c r="Q26" s="20">
        <f t="shared" si="108"/>
        <v>0</v>
      </c>
      <c r="R26" s="19">
        <f t="shared" ref="R26:T26" si="109">IF($E26&lt;=R$24, $B26/12, 0)</f>
        <v>0</v>
      </c>
      <c r="S26" s="19">
        <f t="shared" si="109"/>
        <v>0</v>
      </c>
      <c r="T26" s="19">
        <f t="shared" si="109"/>
        <v>0</v>
      </c>
      <c r="U26" s="20">
        <f t="shared" si="110"/>
        <v>0</v>
      </c>
      <c r="V26" s="19">
        <f t="shared" si="111"/>
        <v>0</v>
      </c>
      <c r="W26" s="19">
        <f t="shared" ref="W26:Y26" si="112">IF($E26&lt;=W$24, $B26/12, 0)</f>
        <v>0</v>
      </c>
      <c r="X26" s="19">
        <f t="shared" si="112"/>
        <v>0</v>
      </c>
      <c r="Y26" s="19">
        <f t="shared" si="112"/>
        <v>0</v>
      </c>
      <c r="Z26" s="20">
        <f t="shared" si="113"/>
        <v>0</v>
      </c>
      <c r="AA26" s="19">
        <f t="shared" ref="AA26:AC26" si="114">IF($E26&lt;=AA$24, $B26/12, 0)</f>
        <v>0</v>
      </c>
      <c r="AB26" s="19">
        <f t="shared" si="114"/>
        <v>0</v>
      </c>
      <c r="AC26" s="19">
        <f t="shared" si="114"/>
        <v>0</v>
      </c>
      <c r="AD26" s="20">
        <f t="shared" si="115"/>
        <v>0</v>
      </c>
      <c r="AE26" s="19">
        <f t="shared" ref="AE26:AG26" si="116">IF($E26&lt;=AE$24, $B26/12, 0)</f>
        <v>0</v>
      </c>
      <c r="AF26" s="19">
        <f t="shared" si="116"/>
        <v>0</v>
      </c>
      <c r="AG26" s="19">
        <f t="shared" si="116"/>
        <v>0</v>
      </c>
      <c r="AH26" s="20">
        <f t="shared" si="117"/>
        <v>0</v>
      </c>
      <c r="AI26" s="19">
        <f t="shared" ref="AI26:AK26" si="118">IF($E26&lt;=AI$24, $B26/12, 0)</f>
        <v>0</v>
      </c>
      <c r="AJ26" s="19">
        <f t="shared" si="118"/>
        <v>0</v>
      </c>
      <c r="AK26" s="19">
        <f t="shared" si="118"/>
        <v>0</v>
      </c>
      <c r="AL26" s="20">
        <f t="shared" si="119"/>
        <v>0</v>
      </c>
      <c r="AM26" s="19">
        <f t="shared" si="120"/>
        <v>0</v>
      </c>
    </row>
    <row r="27" ht="15.75" customHeight="1">
      <c r="A27" s="36" t="s">
        <v>27</v>
      </c>
      <c r="B27" s="16">
        <v>0.0</v>
      </c>
      <c r="C27" s="35"/>
      <c r="D27" s="35"/>
      <c r="E27" s="22">
        <v>45658.0</v>
      </c>
      <c r="F27" s="19">
        <f t="shared" ref="F27:H27" si="121">IF($E27&lt;=F$24, $B27/12, 0)</f>
        <v>0</v>
      </c>
      <c r="G27" s="19">
        <f t="shared" si="121"/>
        <v>0</v>
      </c>
      <c r="H27" s="19">
        <f t="shared" si="121"/>
        <v>0</v>
      </c>
      <c r="I27" s="20">
        <f t="shared" si="104"/>
        <v>0</v>
      </c>
      <c r="J27" s="19">
        <f t="shared" ref="J27:L27" si="122">IF($E27&lt;=J$24, $B27/12, 0)</f>
        <v>0</v>
      </c>
      <c r="K27" s="19">
        <f t="shared" si="122"/>
        <v>0</v>
      </c>
      <c r="L27" s="19">
        <f t="shared" si="122"/>
        <v>0</v>
      </c>
      <c r="M27" s="20">
        <f t="shared" si="106"/>
        <v>0</v>
      </c>
      <c r="N27" s="19">
        <f t="shared" ref="N27:P27" si="123">IF($E27&lt;=N$24, $B27/12, 0)</f>
        <v>0</v>
      </c>
      <c r="O27" s="19">
        <f t="shared" si="123"/>
        <v>0</v>
      </c>
      <c r="P27" s="19">
        <f t="shared" si="123"/>
        <v>0</v>
      </c>
      <c r="Q27" s="20">
        <f t="shared" si="108"/>
        <v>0</v>
      </c>
      <c r="R27" s="19">
        <f t="shared" ref="R27:T27" si="124">IF($E27&lt;=R$24, $B27/12, 0)</f>
        <v>0</v>
      </c>
      <c r="S27" s="19">
        <f t="shared" si="124"/>
        <v>0</v>
      </c>
      <c r="T27" s="19">
        <f t="shared" si="124"/>
        <v>0</v>
      </c>
      <c r="U27" s="20">
        <f t="shared" si="110"/>
        <v>0</v>
      </c>
      <c r="V27" s="19">
        <f t="shared" si="111"/>
        <v>0</v>
      </c>
      <c r="W27" s="19">
        <f t="shared" ref="W27:Y27" si="125">IF($E27&lt;=W$24, $B27/12, 0)</f>
        <v>0</v>
      </c>
      <c r="X27" s="19">
        <f t="shared" si="125"/>
        <v>0</v>
      </c>
      <c r="Y27" s="19">
        <f t="shared" si="125"/>
        <v>0</v>
      </c>
      <c r="Z27" s="20">
        <f t="shared" si="113"/>
        <v>0</v>
      </c>
      <c r="AA27" s="19">
        <f t="shared" ref="AA27:AC27" si="126">IF($E27&lt;=AA$24, $B27/12, 0)</f>
        <v>0</v>
      </c>
      <c r="AB27" s="19">
        <f t="shared" si="126"/>
        <v>0</v>
      </c>
      <c r="AC27" s="19">
        <f t="shared" si="126"/>
        <v>0</v>
      </c>
      <c r="AD27" s="20">
        <f t="shared" si="115"/>
        <v>0</v>
      </c>
      <c r="AE27" s="19">
        <f t="shared" ref="AE27:AG27" si="127">IF($E27&lt;=AE$24, $B27/12, 0)</f>
        <v>0</v>
      </c>
      <c r="AF27" s="19">
        <f t="shared" si="127"/>
        <v>0</v>
      </c>
      <c r="AG27" s="19">
        <f t="shared" si="127"/>
        <v>0</v>
      </c>
      <c r="AH27" s="20">
        <f t="shared" si="117"/>
        <v>0</v>
      </c>
      <c r="AI27" s="19">
        <f t="shared" ref="AI27:AK27" si="128">IF($E27&lt;=AI$24, $B27/12, 0)</f>
        <v>0</v>
      </c>
      <c r="AJ27" s="19">
        <f t="shared" si="128"/>
        <v>0</v>
      </c>
      <c r="AK27" s="19">
        <f t="shared" si="128"/>
        <v>0</v>
      </c>
      <c r="AL27" s="20">
        <f t="shared" si="119"/>
        <v>0</v>
      </c>
      <c r="AM27" s="19">
        <f t="shared" si="120"/>
        <v>0</v>
      </c>
    </row>
    <row r="28" ht="15.75" customHeight="1">
      <c r="A28" s="36" t="s">
        <v>27</v>
      </c>
      <c r="B28" s="16">
        <v>0.0</v>
      </c>
      <c r="C28" s="35"/>
      <c r="D28" s="35"/>
      <c r="E28" s="22">
        <v>45658.0</v>
      </c>
      <c r="F28" s="19">
        <f t="shared" ref="F28:H28" si="129">IF($E28&lt;=F$24, $B28/12, 0)</f>
        <v>0</v>
      </c>
      <c r="G28" s="19">
        <f t="shared" si="129"/>
        <v>0</v>
      </c>
      <c r="H28" s="19">
        <f t="shared" si="129"/>
        <v>0</v>
      </c>
      <c r="I28" s="20">
        <f t="shared" si="104"/>
        <v>0</v>
      </c>
      <c r="J28" s="19">
        <f t="shared" ref="J28:L28" si="130">IF($E28&lt;=J$24, $B28/12, 0)</f>
        <v>0</v>
      </c>
      <c r="K28" s="19">
        <f t="shared" si="130"/>
        <v>0</v>
      </c>
      <c r="L28" s="19">
        <f t="shared" si="130"/>
        <v>0</v>
      </c>
      <c r="M28" s="20">
        <f t="shared" si="106"/>
        <v>0</v>
      </c>
      <c r="N28" s="19">
        <f t="shared" ref="N28:P28" si="131">IF($E28&lt;=N$24, $B28/12, 0)</f>
        <v>0</v>
      </c>
      <c r="O28" s="19">
        <f t="shared" si="131"/>
        <v>0</v>
      </c>
      <c r="P28" s="19">
        <f t="shared" si="131"/>
        <v>0</v>
      </c>
      <c r="Q28" s="20">
        <f t="shared" si="108"/>
        <v>0</v>
      </c>
      <c r="R28" s="19">
        <f t="shared" ref="R28:T28" si="132">IF($E28&lt;=R$24, $B28/12, 0)</f>
        <v>0</v>
      </c>
      <c r="S28" s="19">
        <f t="shared" si="132"/>
        <v>0</v>
      </c>
      <c r="T28" s="19">
        <f t="shared" si="132"/>
        <v>0</v>
      </c>
      <c r="U28" s="20">
        <f t="shared" si="110"/>
        <v>0</v>
      </c>
      <c r="V28" s="19">
        <f t="shared" si="111"/>
        <v>0</v>
      </c>
      <c r="W28" s="19">
        <f t="shared" ref="W28:Y28" si="133">IF($E28&lt;=W$24, $B28/12, 0)</f>
        <v>0</v>
      </c>
      <c r="X28" s="19">
        <f t="shared" si="133"/>
        <v>0</v>
      </c>
      <c r="Y28" s="19">
        <f t="shared" si="133"/>
        <v>0</v>
      </c>
      <c r="Z28" s="20">
        <f t="shared" si="113"/>
        <v>0</v>
      </c>
      <c r="AA28" s="19">
        <f t="shared" ref="AA28:AC28" si="134">IF($E28&lt;=AA$24, $B28/12, 0)</f>
        <v>0</v>
      </c>
      <c r="AB28" s="19">
        <f t="shared" si="134"/>
        <v>0</v>
      </c>
      <c r="AC28" s="19">
        <f t="shared" si="134"/>
        <v>0</v>
      </c>
      <c r="AD28" s="20">
        <f t="shared" si="115"/>
        <v>0</v>
      </c>
      <c r="AE28" s="19">
        <f t="shared" ref="AE28:AG28" si="135">IF($E28&lt;=AE$24, $B28/12, 0)</f>
        <v>0</v>
      </c>
      <c r="AF28" s="19">
        <f t="shared" si="135"/>
        <v>0</v>
      </c>
      <c r="AG28" s="19">
        <f t="shared" si="135"/>
        <v>0</v>
      </c>
      <c r="AH28" s="20">
        <f t="shared" si="117"/>
        <v>0</v>
      </c>
      <c r="AI28" s="19">
        <f t="shared" ref="AI28:AK28" si="136">IF($E28&lt;=AI$24, $B28/12, 0)</f>
        <v>0</v>
      </c>
      <c r="AJ28" s="19">
        <f t="shared" si="136"/>
        <v>0</v>
      </c>
      <c r="AK28" s="19">
        <f t="shared" si="136"/>
        <v>0</v>
      </c>
      <c r="AL28" s="20">
        <f t="shared" si="119"/>
        <v>0</v>
      </c>
      <c r="AM28" s="19">
        <f t="shared" si="120"/>
        <v>0</v>
      </c>
    </row>
    <row r="29" ht="15.75" customHeight="1">
      <c r="A29" s="37" t="s">
        <v>28</v>
      </c>
      <c r="B29" s="19">
        <f>SUM(B25:B28)</f>
        <v>1500</v>
      </c>
      <c r="F29" s="19">
        <f t="shared" ref="F29:AM29" si="137">SUM(F25:F26)</f>
        <v>125</v>
      </c>
      <c r="G29" s="19">
        <f t="shared" si="137"/>
        <v>125</v>
      </c>
      <c r="H29" s="19">
        <f t="shared" si="137"/>
        <v>125</v>
      </c>
      <c r="I29" s="20">
        <f t="shared" si="137"/>
        <v>375</v>
      </c>
      <c r="J29" s="19">
        <f t="shared" si="137"/>
        <v>125</v>
      </c>
      <c r="K29" s="19">
        <f t="shared" si="137"/>
        <v>125</v>
      </c>
      <c r="L29" s="19">
        <f t="shared" si="137"/>
        <v>125</v>
      </c>
      <c r="M29" s="20">
        <f t="shared" si="137"/>
        <v>375</v>
      </c>
      <c r="N29" s="19">
        <f t="shared" si="137"/>
        <v>125</v>
      </c>
      <c r="O29" s="19">
        <f t="shared" si="137"/>
        <v>125</v>
      </c>
      <c r="P29" s="19">
        <f t="shared" si="137"/>
        <v>125</v>
      </c>
      <c r="Q29" s="20">
        <f t="shared" si="137"/>
        <v>375</v>
      </c>
      <c r="R29" s="19">
        <f t="shared" si="137"/>
        <v>125</v>
      </c>
      <c r="S29" s="19">
        <f t="shared" si="137"/>
        <v>125</v>
      </c>
      <c r="T29" s="19">
        <f t="shared" si="137"/>
        <v>125</v>
      </c>
      <c r="U29" s="20">
        <f t="shared" si="137"/>
        <v>375</v>
      </c>
      <c r="V29" s="19">
        <f t="shared" si="137"/>
        <v>1500</v>
      </c>
      <c r="W29" s="19">
        <f t="shared" si="137"/>
        <v>125</v>
      </c>
      <c r="X29" s="19">
        <f t="shared" si="137"/>
        <v>125</v>
      </c>
      <c r="Y29" s="19">
        <f t="shared" si="137"/>
        <v>125</v>
      </c>
      <c r="Z29" s="20">
        <f t="shared" si="137"/>
        <v>375</v>
      </c>
      <c r="AA29" s="19">
        <f t="shared" si="137"/>
        <v>125</v>
      </c>
      <c r="AB29" s="19">
        <f t="shared" si="137"/>
        <v>125</v>
      </c>
      <c r="AC29" s="19">
        <f t="shared" si="137"/>
        <v>125</v>
      </c>
      <c r="AD29" s="20">
        <f t="shared" si="137"/>
        <v>375</v>
      </c>
      <c r="AE29" s="19">
        <f t="shared" si="137"/>
        <v>125</v>
      </c>
      <c r="AF29" s="19">
        <f t="shared" si="137"/>
        <v>125</v>
      </c>
      <c r="AG29" s="19">
        <f t="shared" si="137"/>
        <v>125</v>
      </c>
      <c r="AH29" s="20">
        <f t="shared" si="137"/>
        <v>375</v>
      </c>
      <c r="AI29" s="19">
        <f t="shared" si="137"/>
        <v>125</v>
      </c>
      <c r="AJ29" s="19">
        <f t="shared" si="137"/>
        <v>125</v>
      </c>
      <c r="AK29" s="19">
        <f t="shared" si="137"/>
        <v>125</v>
      </c>
      <c r="AL29" s="20">
        <f t="shared" si="137"/>
        <v>375</v>
      </c>
      <c r="AM29" s="19">
        <f t="shared" si="137"/>
        <v>1500</v>
      </c>
    </row>
    <row r="30" ht="15.75" customHeight="1"/>
    <row r="31" ht="15.75" customHeight="1"/>
    <row r="32" ht="18.75" customHeight="1">
      <c r="A32" s="5" t="s">
        <v>35</v>
      </c>
    </row>
    <row r="33" ht="15.75" customHeight="1">
      <c r="A33" s="9" t="s">
        <v>5</v>
      </c>
      <c r="B33" s="10" t="s">
        <v>31</v>
      </c>
      <c r="C33" s="32"/>
      <c r="D33" s="32"/>
      <c r="E33" s="11" t="s">
        <v>32</v>
      </c>
      <c r="F33" s="12">
        <v>46037.0</v>
      </c>
      <c r="G33" s="12">
        <v>46068.0</v>
      </c>
      <c r="H33" s="12">
        <v>46096.0</v>
      </c>
      <c r="I33" s="13" t="s">
        <v>33</v>
      </c>
      <c r="J33" s="12">
        <v>46127.0</v>
      </c>
      <c r="K33" s="12">
        <v>46157.0</v>
      </c>
      <c r="L33" s="12">
        <v>46188.0</v>
      </c>
      <c r="M33" s="13" t="s">
        <v>11</v>
      </c>
      <c r="N33" s="12">
        <v>46218.0</v>
      </c>
      <c r="O33" s="12">
        <v>46249.0</v>
      </c>
      <c r="P33" s="12">
        <v>46280.0</v>
      </c>
      <c r="Q33" s="13" t="s">
        <v>12</v>
      </c>
      <c r="R33" s="12">
        <v>46310.0</v>
      </c>
      <c r="S33" s="12">
        <v>46341.0</v>
      </c>
      <c r="T33" s="12">
        <v>46371.0</v>
      </c>
      <c r="U33" s="13" t="s">
        <v>13</v>
      </c>
      <c r="V33" s="14" t="s">
        <v>14</v>
      </c>
      <c r="W33" s="12">
        <v>46402.0</v>
      </c>
      <c r="X33" s="12">
        <v>46433.0</v>
      </c>
      <c r="Y33" s="12">
        <v>46461.0</v>
      </c>
      <c r="Z33" s="13" t="s">
        <v>15</v>
      </c>
      <c r="AA33" s="12">
        <v>46492.0</v>
      </c>
      <c r="AB33" s="12">
        <v>46522.0</v>
      </c>
      <c r="AC33" s="12">
        <v>46553.0</v>
      </c>
      <c r="AD33" s="13" t="s">
        <v>16</v>
      </c>
      <c r="AE33" s="12">
        <v>46583.0</v>
      </c>
      <c r="AF33" s="12">
        <v>46614.0</v>
      </c>
      <c r="AG33" s="12">
        <v>46645.0</v>
      </c>
      <c r="AH33" s="13" t="s">
        <v>17</v>
      </c>
      <c r="AI33" s="12">
        <v>46675.0</v>
      </c>
      <c r="AJ33" s="12">
        <v>46706.0</v>
      </c>
      <c r="AK33" s="12">
        <v>46736.0</v>
      </c>
      <c r="AL33" s="13" t="s">
        <v>18</v>
      </c>
      <c r="AM33" s="14" t="s">
        <v>19</v>
      </c>
    </row>
    <row r="34" ht="15.75" customHeight="1">
      <c r="A34" s="36" t="s">
        <v>36</v>
      </c>
      <c r="B34" s="16">
        <v>0.0</v>
      </c>
      <c r="C34" s="35"/>
      <c r="D34" s="35"/>
      <c r="E34" s="22">
        <v>45658.0</v>
      </c>
      <c r="F34" s="19">
        <f t="shared" ref="F34:H34" si="138">IF($E34&lt;=F$33, $B34/12, 0)</f>
        <v>0</v>
      </c>
      <c r="G34" s="19">
        <f t="shared" si="138"/>
        <v>0</v>
      </c>
      <c r="H34" s="19">
        <f t="shared" si="138"/>
        <v>0</v>
      </c>
      <c r="I34" s="20">
        <f t="shared" ref="I34:I37" si="147">SUM(F34:H34)</f>
        <v>0</v>
      </c>
      <c r="J34" s="19">
        <f t="shared" ref="J34:L34" si="139">IF($E34&lt;=J$33, $B34/12, 0)</f>
        <v>0</v>
      </c>
      <c r="K34" s="19">
        <f t="shared" si="139"/>
        <v>0</v>
      </c>
      <c r="L34" s="19">
        <f t="shared" si="139"/>
        <v>0</v>
      </c>
      <c r="M34" s="20">
        <f t="shared" ref="M34:M37" si="149">SUM(J34:L34)</f>
        <v>0</v>
      </c>
      <c r="N34" s="19">
        <f t="shared" ref="N34:P34" si="140">IF($E34&lt;=N$33, $B34/12, 0)</f>
        <v>0</v>
      </c>
      <c r="O34" s="19">
        <f t="shared" si="140"/>
        <v>0</v>
      </c>
      <c r="P34" s="19">
        <f t="shared" si="140"/>
        <v>0</v>
      </c>
      <c r="Q34" s="20">
        <f t="shared" ref="Q34:Q37" si="151">SUM(N34:P34)</f>
        <v>0</v>
      </c>
      <c r="R34" s="19">
        <f t="shared" ref="R34:T34" si="141">IF($E34&lt;=R$33, $B34/12, 0)</f>
        <v>0</v>
      </c>
      <c r="S34" s="19">
        <f t="shared" si="141"/>
        <v>0</v>
      </c>
      <c r="T34" s="19">
        <f t="shared" si="141"/>
        <v>0</v>
      </c>
      <c r="U34" s="20">
        <f t="shared" ref="U34:U37" si="153">SUM(R34:T34)</f>
        <v>0</v>
      </c>
      <c r="V34" s="19">
        <f t="shared" ref="V34:V37" si="154">I34+M34+Q34+U34</f>
        <v>0</v>
      </c>
      <c r="W34" s="19">
        <f t="shared" ref="W34:Y34" si="142">IF($E34&lt;=W$33, $B34/12, 0)</f>
        <v>0</v>
      </c>
      <c r="X34" s="19">
        <f t="shared" si="142"/>
        <v>0</v>
      </c>
      <c r="Y34" s="19">
        <f t="shared" si="142"/>
        <v>0</v>
      </c>
      <c r="Z34" s="20">
        <f t="shared" ref="Z34:Z37" si="156">SUM(W34:Y34)</f>
        <v>0</v>
      </c>
      <c r="AA34" s="19">
        <f t="shared" ref="AA34:AC34" si="143">IF($E34&lt;=AA$33, $B34/12, 0)</f>
        <v>0</v>
      </c>
      <c r="AB34" s="19">
        <f t="shared" si="143"/>
        <v>0</v>
      </c>
      <c r="AC34" s="19">
        <f t="shared" si="143"/>
        <v>0</v>
      </c>
      <c r="AD34" s="20">
        <f t="shared" ref="AD34:AD37" si="158">SUM(AA34:AC34)</f>
        <v>0</v>
      </c>
      <c r="AE34" s="19">
        <f t="shared" ref="AE34:AG34" si="144">IF($E34&lt;=AE$33, $B34/12, 0)</f>
        <v>0</v>
      </c>
      <c r="AF34" s="19">
        <f t="shared" si="144"/>
        <v>0</v>
      </c>
      <c r="AG34" s="19">
        <f t="shared" si="144"/>
        <v>0</v>
      </c>
      <c r="AH34" s="20">
        <f t="shared" ref="AH34:AH37" si="160">SUM(AE34:AG34)</f>
        <v>0</v>
      </c>
      <c r="AI34" s="19">
        <f t="shared" ref="AI34:AK34" si="145">IF($E34&lt;=AI$33, $B34/12, 0)</f>
        <v>0</v>
      </c>
      <c r="AJ34" s="19">
        <f t="shared" si="145"/>
        <v>0</v>
      </c>
      <c r="AK34" s="19">
        <f t="shared" si="145"/>
        <v>0</v>
      </c>
      <c r="AL34" s="20">
        <f t="shared" ref="AL34:AL37" si="162">SUM(AI34:AK34)</f>
        <v>0</v>
      </c>
      <c r="AM34" s="19">
        <f t="shared" ref="AM34:AM37" si="163">Z34+AD34+AH34+AL34</f>
        <v>0</v>
      </c>
    </row>
    <row r="35" ht="15.75" customHeight="1">
      <c r="A35" s="36" t="s">
        <v>37</v>
      </c>
      <c r="B35" s="16">
        <v>0.0</v>
      </c>
      <c r="C35" s="35"/>
      <c r="D35" s="35"/>
      <c r="E35" s="22">
        <v>45658.0</v>
      </c>
      <c r="F35" s="19">
        <f t="shared" ref="F35:H35" si="146">IF($E35&lt;=F$33, $B35/12, 0)</f>
        <v>0</v>
      </c>
      <c r="G35" s="19">
        <f t="shared" si="146"/>
        <v>0</v>
      </c>
      <c r="H35" s="19">
        <f t="shared" si="146"/>
        <v>0</v>
      </c>
      <c r="I35" s="20">
        <f t="shared" si="147"/>
        <v>0</v>
      </c>
      <c r="J35" s="19">
        <f t="shared" ref="J35:L35" si="148">IF($E35&lt;=J$33, $B35/12, 0)</f>
        <v>0</v>
      </c>
      <c r="K35" s="19">
        <f t="shared" si="148"/>
        <v>0</v>
      </c>
      <c r="L35" s="19">
        <f t="shared" si="148"/>
        <v>0</v>
      </c>
      <c r="M35" s="20">
        <f t="shared" si="149"/>
        <v>0</v>
      </c>
      <c r="N35" s="19">
        <f t="shared" ref="N35:P35" si="150">IF($E35&lt;=N$33, $B35/12, 0)</f>
        <v>0</v>
      </c>
      <c r="O35" s="19">
        <f t="shared" si="150"/>
        <v>0</v>
      </c>
      <c r="P35" s="19">
        <f t="shared" si="150"/>
        <v>0</v>
      </c>
      <c r="Q35" s="20">
        <f t="shared" si="151"/>
        <v>0</v>
      </c>
      <c r="R35" s="19">
        <f t="shared" ref="R35:T35" si="152">IF($E35&lt;=R$33, $B35/12, 0)</f>
        <v>0</v>
      </c>
      <c r="S35" s="19">
        <f t="shared" si="152"/>
        <v>0</v>
      </c>
      <c r="T35" s="19">
        <f t="shared" si="152"/>
        <v>0</v>
      </c>
      <c r="U35" s="20">
        <f t="shared" si="153"/>
        <v>0</v>
      </c>
      <c r="V35" s="19">
        <f t="shared" si="154"/>
        <v>0</v>
      </c>
      <c r="W35" s="19">
        <f t="shared" ref="W35:Y35" si="155">IF($E35&lt;=W$33, $B35/12, 0)</f>
        <v>0</v>
      </c>
      <c r="X35" s="19">
        <f t="shared" si="155"/>
        <v>0</v>
      </c>
      <c r="Y35" s="19">
        <f t="shared" si="155"/>
        <v>0</v>
      </c>
      <c r="Z35" s="20">
        <f t="shared" si="156"/>
        <v>0</v>
      </c>
      <c r="AA35" s="19">
        <f t="shared" ref="AA35:AC35" si="157">IF($E35&lt;=AA$33, $B35/12, 0)</f>
        <v>0</v>
      </c>
      <c r="AB35" s="19">
        <f t="shared" si="157"/>
        <v>0</v>
      </c>
      <c r="AC35" s="19">
        <f t="shared" si="157"/>
        <v>0</v>
      </c>
      <c r="AD35" s="20">
        <f t="shared" si="158"/>
        <v>0</v>
      </c>
      <c r="AE35" s="19">
        <f t="shared" ref="AE35:AG35" si="159">IF($E35&lt;=AE$33, $B35/12, 0)</f>
        <v>0</v>
      </c>
      <c r="AF35" s="19">
        <f t="shared" si="159"/>
        <v>0</v>
      </c>
      <c r="AG35" s="19">
        <f t="shared" si="159"/>
        <v>0</v>
      </c>
      <c r="AH35" s="20">
        <f t="shared" si="160"/>
        <v>0</v>
      </c>
      <c r="AI35" s="19">
        <f t="shared" ref="AI35:AK35" si="161">IF($E35&lt;=AI$33, $B35/12, 0)</f>
        <v>0</v>
      </c>
      <c r="AJ35" s="19">
        <f t="shared" si="161"/>
        <v>0</v>
      </c>
      <c r="AK35" s="19">
        <f t="shared" si="161"/>
        <v>0</v>
      </c>
      <c r="AL35" s="20">
        <f t="shared" si="162"/>
        <v>0</v>
      </c>
      <c r="AM35" s="19">
        <f t="shared" si="163"/>
        <v>0</v>
      </c>
    </row>
    <row r="36" ht="15.75" customHeight="1">
      <c r="A36" s="36" t="s">
        <v>38</v>
      </c>
      <c r="B36" s="16">
        <v>0.0</v>
      </c>
      <c r="C36" s="35"/>
      <c r="D36" s="35"/>
      <c r="E36" s="22">
        <v>45658.0</v>
      </c>
      <c r="F36" s="19">
        <f t="shared" ref="F36:H36" si="164">IF($E36&lt;=F$24, $B36/12, 0)</f>
        <v>0</v>
      </c>
      <c r="G36" s="19">
        <f t="shared" si="164"/>
        <v>0</v>
      </c>
      <c r="H36" s="19">
        <f t="shared" si="164"/>
        <v>0</v>
      </c>
      <c r="I36" s="20">
        <f t="shared" si="147"/>
        <v>0</v>
      </c>
      <c r="J36" s="19">
        <f t="shared" ref="J36:L36" si="165">IF($E36&lt;=J$24, $B36/12, 0)</f>
        <v>0</v>
      </c>
      <c r="K36" s="19">
        <f t="shared" si="165"/>
        <v>0</v>
      </c>
      <c r="L36" s="19">
        <f t="shared" si="165"/>
        <v>0</v>
      </c>
      <c r="M36" s="20">
        <f t="shared" si="149"/>
        <v>0</v>
      </c>
      <c r="N36" s="19">
        <f t="shared" ref="N36:P36" si="166">IF($E36&lt;=N$24, $B36/12, 0)</f>
        <v>0</v>
      </c>
      <c r="O36" s="19">
        <f t="shared" si="166"/>
        <v>0</v>
      </c>
      <c r="P36" s="19">
        <f t="shared" si="166"/>
        <v>0</v>
      </c>
      <c r="Q36" s="20">
        <f t="shared" si="151"/>
        <v>0</v>
      </c>
      <c r="R36" s="19">
        <f t="shared" ref="R36:T36" si="167">IF($E36&lt;=R$24, $B36/12, 0)</f>
        <v>0</v>
      </c>
      <c r="S36" s="19">
        <f t="shared" si="167"/>
        <v>0</v>
      </c>
      <c r="T36" s="19">
        <f t="shared" si="167"/>
        <v>0</v>
      </c>
      <c r="U36" s="20">
        <f t="shared" si="153"/>
        <v>0</v>
      </c>
      <c r="V36" s="19">
        <f t="shared" si="154"/>
        <v>0</v>
      </c>
      <c r="W36" s="19">
        <f t="shared" ref="W36:Y36" si="168">IF($E36&lt;=W$24, $B36/12, 0)</f>
        <v>0</v>
      </c>
      <c r="X36" s="19">
        <f t="shared" si="168"/>
        <v>0</v>
      </c>
      <c r="Y36" s="19">
        <f t="shared" si="168"/>
        <v>0</v>
      </c>
      <c r="Z36" s="20">
        <f t="shared" si="156"/>
        <v>0</v>
      </c>
      <c r="AA36" s="19">
        <f t="shared" ref="AA36:AC36" si="169">IF($E36&lt;=AA$24, $B36/12, 0)</f>
        <v>0</v>
      </c>
      <c r="AB36" s="19">
        <f t="shared" si="169"/>
        <v>0</v>
      </c>
      <c r="AC36" s="19">
        <f t="shared" si="169"/>
        <v>0</v>
      </c>
      <c r="AD36" s="20">
        <f t="shared" si="158"/>
        <v>0</v>
      </c>
      <c r="AE36" s="19">
        <f t="shared" ref="AE36:AG36" si="170">IF($E36&lt;=AE$24, $B36/12, 0)</f>
        <v>0</v>
      </c>
      <c r="AF36" s="19">
        <f t="shared" si="170"/>
        <v>0</v>
      </c>
      <c r="AG36" s="19">
        <f t="shared" si="170"/>
        <v>0</v>
      </c>
      <c r="AH36" s="20">
        <f t="shared" si="160"/>
        <v>0</v>
      </c>
      <c r="AI36" s="19">
        <f t="shared" ref="AI36:AK36" si="171">IF($E36&lt;=AI$24, $B36/12, 0)</f>
        <v>0</v>
      </c>
      <c r="AJ36" s="19">
        <f t="shared" si="171"/>
        <v>0</v>
      </c>
      <c r="AK36" s="19">
        <f t="shared" si="171"/>
        <v>0</v>
      </c>
      <c r="AL36" s="20">
        <f t="shared" si="162"/>
        <v>0</v>
      </c>
      <c r="AM36" s="19">
        <f t="shared" si="163"/>
        <v>0</v>
      </c>
    </row>
    <row r="37" ht="15.75" customHeight="1">
      <c r="A37" s="36" t="s">
        <v>27</v>
      </c>
      <c r="B37" s="16">
        <v>0.0</v>
      </c>
      <c r="C37" s="35"/>
      <c r="D37" s="35"/>
      <c r="E37" s="22">
        <v>45658.0</v>
      </c>
      <c r="F37" s="19">
        <f t="shared" ref="F37:H37" si="172">IF($E37&lt;=F$24, $B37/12, 0)</f>
        <v>0</v>
      </c>
      <c r="G37" s="19">
        <f t="shared" si="172"/>
        <v>0</v>
      </c>
      <c r="H37" s="19">
        <f t="shared" si="172"/>
        <v>0</v>
      </c>
      <c r="I37" s="20">
        <f t="shared" si="147"/>
        <v>0</v>
      </c>
      <c r="J37" s="19">
        <f t="shared" ref="J37:L37" si="173">IF($E37&lt;=J$24, $B37/12, 0)</f>
        <v>0</v>
      </c>
      <c r="K37" s="19">
        <f t="shared" si="173"/>
        <v>0</v>
      </c>
      <c r="L37" s="19">
        <f t="shared" si="173"/>
        <v>0</v>
      </c>
      <c r="M37" s="20">
        <f t="shared" si="149"/>
        <v>0</v>
      </c>
      <c r="N37" s="19">
        <f t="shared" ref="N37:P37" si="174">IF($E37&lt;=N$24, $B37/12, 0)</f>
        <v>0</v>
      </c>
      <c r="O37" s="19">
        <f t="shared" si="174"/>
        <v>0</v>
      </c>
      <c r="P37" s="19">
        <f t="shared" si="174"/>
        <v>0</v>
      </c>
      <c r="Q37" s="20">
        <f t="shared" si="151"/>
        <v>0</v>
      </c>
      <c r="R37" s="19">
        <f t="shared" ref="R37:T37" si="175">IF($E37&lt;=R$24, $B37/12, 0)</f>
        <v>0</v>
      </c>
      <c r="S37" s="19">
        <f t="shared" si="175"/>
        <v>0</v>
      </c>
      <c r="T37" s="19">
        <f t="shared" si="175"/>
        <v>0</v>
      </c>
      <c r="U37" s="20">
        <f t="shared" si="153"/>
        <v>0</v>
      </c>
      <c r="V37" s="19">
        <f t="shared" si="154"/>
        <v>0</v>
      </c>
      <c r="W37" s="19">
        <f t="shared" ref="W37:Y37" si="176">IF($E37&lt;=W$24, $B37/12, 0)</f>
        <v>0</v>
      </c>
      <c r="X37" s="19">
        <f t="shared" si="176"/>
        <v>0</v>
      </c>
      <c r="Y37" s="19">
        <f t="shared" si="176"/>
        <v>0</v>
      </c>
      <c r="Z37" s="20">
        <f t="shared" si="156"/>
        <v>0</v>
      </c>
      <c r="AA37" s="19">
        <f t="shared" ref="AA37:AC37" si="177">IF($E37&lt;=AA$24, $B37/12, 0)</f>
        <v>0</v>
      </c>
      <c r="AB37" s="19">
        <f t="shared" si="177"/>
        <v>0</v>
      </c>
      <c r="AC37" s="19">
        <f t="shared" si="177"/>
        <v>0</v>
      </c>
      <c r="AD37" s="20">
        <f t="shared" si="158"/>
        <v>0</v>
      </c>
      <c r="AE37" s="19">
        <f t="shared" ref="AE37:AG37" si="178">IF($E37&lt;=AE$24, $B37/12, 0)</f>
        <v>0</v>
      </c>
      <c r="AF37" s="19">
        <f t="shared" si="178"/>
        <v>0</v>
      </c>
      <c r="AG37" s="19">
        <f t="shared" si="178"/>
        <v>0</v>
      </c>
      <c r="AH37" s="20">
        <f t="shared" si="160"/>
        <v>0</v>
      </c>
      <c r="AI37" s="19">
        <f t="shared" ref="AI37:AK37" si="179">IF($E37&lt;=AI$24, $B37/12, 0)</f>
        <v>0</v>
      </c>
      <c r="AJ37" s="19">
        <f t="shared" si="179"/>
        <v>0</v>
      </c>
      <c r="AK37" s="19">
        <f t="shared" si="179"/>
        <v>0</v>
      </c>
      <c r="AL37" s="20">
        <f t="shared" si="162"/>
        <v>0</v>
      </c>
      <c r="AM37" s="19">
        <f t="shared" si="163"/>
        <v>0</v>
      </c>
    </row>
    <row r="38" ht="15.75" customHeight="1">
      <c r="A38" s="37" t="s">
        <v>28</v>
      </c>
      <c r="B38" s="19">
        <f>SUM(B34:B37)</f>
        <v>0</v>
      </c>
      <c r="F38" s="19">
        <f t="shared" ref="F38:AM38" si="180">SUM(F34:F35)</f>
        <v>0</v>
      </c>
      <c r="G38" s="19">
        <f t="shared" si="180"/>
        <v>0</v>
      </c>
      <c r="H38" s="19">
        <f t="shared" si="180"/>
        <v>0</v>
      </c>
      <c r="I38" s="20">
        <f t="shared" si="180"/>
        <v>0</v>
      </c>
      <c r="J38" s="19">
        <f t="shared" si="180"/>
        <v>0</v>
      </c>
      <c r="K38" s="19">
        <f t="shared" si="180"/>
        <v>0</v>
      </c>
      <c r="L38" s="19">
        <f t="shared" si="180"/>
        <v>0</v>
      </c>
      <c r="M38" s="20">
        <f t="shared" si="180"/>
        <v>0</v>
      </c>
      <c r="N38" s="19">
        <f t="shared" si="180"/>
        <v>0</v>
      </c>
      <c r="O38" s="19">
        <f t="shared" si="180"/>
        <v>0</v>
      </c>
      <c r="P38" s="19">
        <f t="shared" si="180"/>
        <v>0</v>
      </c>
      <c r="Q38" s="20">
        <f t="shared" si="180"/>
        <v>0</v>
      </c>
      <c r="R38" s="19">
        <f t="shared" si="180"/>
        <v>0</v>
      </c>
      <c r="S38" s="19">
        <f t="shared" si="180"/>
        <v>0</v>
      </c>
      <c r="T38" s="19">
        <f t="shared" si="180"/>
        <v>0</v>
      </c>
      <c r="U38" s="20">
        <f t="shared" si="180"/>
        <v>0</v>
      </c>
      <c r="V38" s="19">
        <f t="shared" si="180"/>
        <v>0</v>
      </c>
      <c r="W38" s="19">
        <f t="shared" si="180"/>
        <v>0</v>
      </c>
      <c r="X38" s="19">
        <f t="shared" si="180"/>
        <v>0</v>
      </c>
      <c r="Y38" s="19">
        <f t="shared" si="180"/>
        <v>0</v>
      </c>
      <c r="Z38" s="20">
        <f t="shared" si="180"/>
        <v>0</v>
      </c>
      <c r="AA38" s="19">
        <f t="shared" si="180"/>
        <v>0</v>
      </c>
      <c r="AB38" s="19">
        <f t="shared" si="180"/>
        <v>0</v>
      </c>
      <c r="AC38" s="19">
        <f t="shared" si="180"/>
        <v>0</v>
      </c>
      <c r="AD38" s="20">
        <f t="shared" si="180"/>
        <v>0</v>
      </c>
      <c r="AE38" s="19">
        <f t="shared" si="180"/>
        <v>0</v>
      </c>
      <c r="AF38" s="19">
        <f t="shared" si="180"/>
        <v>0</v>
      </c>
      <c r="AG38" s="19">
        <f t="shared" si="180"/>
        <v>0</v>
      </c>
      <c r="AH38" s="20">
        <f t="shared" si="180"/>
        <v>0</v>
      </c>
      <c r="AI38" s="19">
        <f t="shared" si="180"/>
        <v>0</v>
      </c>
      <c r="AJ38" s="19">
        <f t="shared" si="180"/>
        <v>0</v>
      </c>
      <c r="AK38" s="19">
        <f t="shared" si="180"/>
        <v>0</v>
      </c>
      <c r="AL38" s="20">
        <f t="shared" si="180"/>
        <v>0</v>
      </c>
      <c r="AM38" s="19">
        <f t="shared" si="180"/>
        <v>0</v>
      </c>
    </row>
    <row r="39" ht="15.75" customHeight="1"/>
    <row r="40" ht="15.75" customHeight="1"/>
    <row r="41" ht="18.75" customHeight="1">
      <c r="A41" s="5" t="s">
        <v>39</v>
      </c>
    </row>
    <row r="42" ht="15.75" customHeight="1">
      <c r="A42" s="9" t="s">
        <v>5</v>
      </c>
      <c r="B42" s="10" t="s">
        <v>31</v>
      </c>
      <c r="C42" s="32"/>
      <c r="D42" s="32"/>
      <c r="E42" s="11" t="s">
        <v>32</v>
      </c>
      <c r="F42" s="12">
        <v>46037.0</v>
      </c>
      <c r="G42" s="12">
        <v>46068.0</v>
      </c>
      <c r="H42" s="12">
        <v>46096.0</v>
      </c>
      <c r="I42" s="13" t="s">
        <v>33</v>
      </c>
      <c r="J42" s="12">
        <v>46127.0</v>
      </c>
      <c r="K42" s="12">
        <v>46157.0</v>
      </c>
      <c r="L42" s="12">
        <v>46188.0</v>
      </c>
      <c r="M42" s="13" t="s">
        <v>11</v>
      </c>
      <c r="N42" s="12">
        <v>46218.0</v>
      </c>
      <c r="O42" s="12">
        <v>46249.0</v>
      </c>
      <c r="P42" s="12">
        <v>46280.0</v>
      </c>
      <c r="Q42" s="13" t="s">
        <v>12</v>
      </c>
      <c r="R42" s="12">
        <v>46310.0</v>
      </c>
      <c r="S42" s="12">
        <v>46341.0</v>
      </c>
      <c r="T42" s="12">
        <v>46371.0</v>
      </c>
      <c r="U42" s="13" t="s">
        <v>13</v>
      </c>
      <c r="V42" s="14" t="s">
        <v>14</v>
      </c>
      <c r="W42" s="12">
        <v>46402.0</v>
      </c>
      <c r="X42" s="12">
        <v>46433.0</v>
      </c>
      <c r="Y42" s="12">
        <v>46461.0</v>
      </c>
      <c r="Z42" s="13" t="s">
        <v>15</v>
      </c>
      <c r="AA42" s="12">
        <v>46492.0</v>
      </c>
      <c r="AB42" s="12">
        <v>46522.0</v>
      </c>
      <c r="AC42" s="12">
        <v>46553.0</v>
      </c>
      <c r="AD42" s="13" t="s">
        <v>16</v>
      </c>
      <c r="AE42" s="12">
        <v>46583.0</v>
      </c>
      <c r="AF42" s="12">
        <v>46614.0</v>
      </c>
      <c r="AG42" s="12">
        <v>46645.0</v>
      </c>
      <c r="AH42" s="13" t="s">
        <v>17</v>
      </c>
      <c r="AI42" s="12">
        <v>46675.0</v>
      </c>
      <c r="AJ42" s="12">
        <v>46706.0</v>
      </c>
      <c r="AK42" s="12">
        <v>46736.0</v>
      </c>
      <c r="AL42" s="13" t="s">
        <v>18</v>
      </c>
      <c r="AM42" s="14" t="s">
        <v>19</v>
      </c>
    </row>
    <row r="43" ht="15.75" customHeight="1">
      <c r="A43" s="36" t="s">
        <v>40</v>
      </c>
      <c r="B43" s="16">
        <v>0.0</v>
      </c>
      <c r="C43" s="35"/>
      <c r="D43" s="35"/>
      <c r="E43" s="22">
        <v>45748.0</v>
      </c>
      <c r="F43" s="19">
        <f t="shared" ref="F43:H43" si="181">IF($E43&lt;=F$42, $B43/12, 0)</f>
        <v>0</v>
      </c>
      <c r="G43" s="19">
        <f t="shared" si="181"/>
        <v>0</v>
      </c>
      <c r="H43" s="19">
        <f t="shared" si="181"/>
        <v>0</v>
      </c>
      <c r="I43" s="20">
        <f t="shared" ref="I43:I45" si="190">SUM(F43:H43)</f>
        <v>0</v>
      </c>
      <c r="J43" s="19">
        <f t="shared" ref="J43:L43" si="182">IF($E43&lt;=J$42, $B43/12, 0)</f>
        <v>0</v>
      </c>
      <c r="K43" s="19">
        <f t="shared" si="182"/>
        <v>0</v>
      </c>
      <c r="L43" s="19">
        <f t="shared" si="182"/>
        <v>0</v>
      </c>
      <c r="M43" s="20">
        <f t="shared" ref="M43:M45" si="192">SUM(J43:L43)</f>
        <v>0</v>
      </c>
      <c r="N43" s="19">
        <f t="shared" ref="N43:P43" si="183">IF($E43&lt;=N$42, $B43/12, 0)</f>
        <v>0</v>
      </c>
      <c r="O43" s="19">
        <f t="shared" si="183"/>
        <v>0</v>
      </c>
      <c r="P43" s="19">
        <f t="shared" si="183"/>
        <v>0</v>
      </c>
      <c r="Q43" s="20">
        <f t="shared" ref="Q43:Q45" si="194">SUM(N43:P43)</f>
        <v>0</v>
      </c>
      <c r="R43" s="19">
        <f t="shared" ref="R43:T43" si="184">IF($E43&lt;=R$42, $B43/12, 0)</f>
        <v>0</v>
      </c>
      <c r="S43" s="19">
        <f t="shared" si="184"/>
        <v>0</v>
      </c>
      <c r="T43" s="19">
        <f t="shared" si="184"/>
        <v>0</v>
      </c>
      <c r="U43" s="20">
        <f t="shared" ref="U43:U45" si="196">SUM(R43:T43)</f>
        <v>0</v>
      </c>
      <c r="V43" s="19">
        <f t="shared" ref="V43:V45" si="197">I43+M43+Q43+U43</f>
        <v>0</v>
      </c>
      <c r="W43" s="19">
        <f t="shared" ref="W43:Y43" si="185">IF($E43&lt;=W$42, $B43/12, 0)</f>
        <v>0</v>
      </c>
      <c r="X43" s="19">
        <f t="shared" si="185"/>
        <v>0</v>
      </c>
      <c r="Y43" s="19">
        <f t="shared" si="185"/>
        <v>0</v>
      </c>
      <c r="Z43" s="20">
        <f t="shared" ref="Z43:Z45" si="199">SUM(W43:Y43)</f>
        <v>0</v>
      </c>
      <c r="AA43" s="19">
        <f t="shared" ref="AA43:AC43" si="186">IF($E43&lt;=AA$42, $B43/12, 0)</f>
        <v>0</v>
      </c>
      <c r="AB43" s="19">
        <f t="shared" si="186"/>
        <v>0</v>
      </c>
      <c r="AC43" s="19">
        <f t="shared" si="186"/>
        <v>0</v>
      </c>
      <c r="AD43" s="20">
        <f t="shared" ref="AD43:AD45" si="201">SUM(AA43:AC43)</f>
        <v>0</v>
      </c>
      <c r="AE43" s="19">
        <f t="shared" ref="AE43:AG43" si="187">IF($E43&lt;=AE$42, $B43/12, 0)</f>
        <v>0</v>
      </c>
      <c r="AF43" s="19">
        <f t="shared" si="187"/>
        <v>0</v>
      </c>
      <c r="AG43" s="19">
        <f t="shared" si="187"/>
        <v>0</v>
      </c>
      <c r="AH43" s="20">
        <f t="shared" ref="AH43:AH45" si="203">SUM(AE43:AG43)</f>
        <v>0</v>
      </c>
      <c r="AI43" s="19">
        <f t="shared" ref="AI43:AK43" si="188">IF($E43&lt;=AI$42, $B43/12, 0)</f>
        <v>0</v>
      </c>
      <c r="AJ43" s="19">
        <f t="shared" si="188"/>
        <v>0</v>
      </c>
      <c r="AK43" s="19">
        <f t="shared" si="188"/>
        <v>0</v>
      </c>
      <c r="AL43" s="20">
        <f t="shared" ref="AL43:AL45" si="205">SUM(AI43:AK43)</f>
        <v>0</v>
      </c>
      <c r="AM43" s="19">
        <f t="shared" ref="AM43:AM45" si="206">Z43+AD43+AH43+AL43</f>
        <v>0</v>
      </c>
    </row>
    <row r="44" ht="15.75" customHeight="1">
      <c r="A44" s="33" t="s">
        <v>41</v>
      </c>
      <c r="B44" s="34">
        <v>7000.0</v>
      </c>
      <c r="C44" s="35"/>
      <c r="D44" s="35"/>
      <c r="E44" s="38">
        <v>46143.0</v>
      </c>
      <c r="F44" s="19">
        <f t="shared" ref="F44:H44" si="189">IF($E44&lt;=F$42, $B44/12, 0)</f>
        <v>0</v>
      </c>
      <c r="G44" s="19">
        <f t="shared" si="189"/>
        <v>0</v>
      </c>
      <c r="H44" s="19">
        <f t="shared" si="189"/>
        <v>0</v>
      </c>
      <c r="I44" s="20">
        <f t="shared" si="190"/>
        <v>0</v>
      </c>
      <c r="J44" s="19">
        <f t="shared" ref="J44:L44" si="191">IF($E44&lt;=J$42, $B44/12, 0)</f>
        <v>0</v>
      </c>
      <c r="K44" s="19">
        <f t="shared" si="191"/>
        <v>583.3333333</v>
      </c>
      <c r="L44" s="19">
        <f t="shared" si="191"/>
        <v>583.3333333</v>
      </c>
      <c r="M44" s="20">
        <f t="shared" si="192"/>
        <v>1166.666667</v>
      </c>
      <c r="N44" s="19">
        <f t="shared" ref="N44:P44" si="193">IF($E44&lt;=N$42, $B44/12, 0)</f>
        <v>583.3333333</v>
      </c>
      <c r="O44" s="19">
        <f t="shared" si="193"/>
        <v>583.3333333</v>
      </c>
      <c r="P44" s="19">
        <f t="shared" si="193"/>
        <v>583.3333333</v>
      </c>
      <c r="Q44" s="20">
        <f t="shared" si="194"/>
        <v>1750</v>
      </c>
      <c r="R44" s="19">
        <f t="shared" ref="R44:T44" si="195">IF($E44&lt;=R$42, $B44/12, 0)</f>
        <v>583.3333333</v>
      </c>
      <c r="S44" s="19">
        <f t="shared" si="195"/>
        <v>583.3333333</v>
      </c>
      <c r="T44" s="19">
        <f t="shared" si="195"/>
        <v>583.3333333</v>
      </c>
      <c r="U44" s="20">
        <f t="shared" si="196"/>
        <v>1750</v>
      </c>
      <c r="V44" s="19">
        <f t="shared" si="197"/>
        <v>4666.666667</v>
      </c>
      <c r="W44" s="19">
        <f t="shared" ref="W44:Y44" si="198">IF($E44&lt;=W$42, $B44/12, 0)</f>
        <v>583.3333333</v>
      </c>
      <c r="X44" s="19">
        <f t="shared" si="198"/>
        <v>583.3333333</v>
      </c>
      <c r="Y44" s="19">
        <f t="shared" si="198"/>
        <v>583.3333333</v>
      </c>
      <c r="Z44" s="20">
        <f t="shared" si="199"/>
        <v>1750</v>
      </c>
      <c r="AA44" s="19">
        <f t="shared" ref="AA44:AC44" si="200">IF($E44&lt;=AA$42, $B44/12, 0)</f>
        <v>583.3333333</v>
      </c>
      <c r="AB44" s="19">
        <f t="shared" si="200"/>
        <v>583.3333333</v>
      </c>
      <c r="AC44" s="19">
        <f t="shared" si="200"/>
        <v>583.3333333</v>
      </c>
      <c r="AD44" s="20">
        <f t="shared" si="201"/>
        <v>1750</v>
      </c>
      <c r="AE44" s="19">
        <f t="shared" ref="AE44:AG44" si="202">IF($E44&lt;=AE$42, $B44/12, 0)</f>
        <v>583.3333333</v>
      </c>
      <c r="AF44" s="19">
        <f t="shared" si="202"/>
        <v>583.3333333</v>
      </c>
      <c r="AG44" s="19">
        <f t="shared" si="202"/>
        <v>583.3333333</v>
      </c>
      <c r="AH44" s="20">
        <f t="shared" si="203"/>
        <v>1750</v>
      </c>
      <c r="AI44" s="19">
        <f t="shared" ref="AI44:AK44" si="204">IF($E44&lt;=AI$42, $B44/12, 0)</f>
        <v>583.3333333</v>
      </c>
      <c r="AJ44" s="19">
        <f t="shared" si="204"/>
        <v>583.3333333</v>
      </c>
      <c r="AK44" s="19">
        <f t="shared" si="204"/>
        <v>583.3333333</v>
      </c>
      <c r="AL44" s="20">
        <f t="shared" si="205"/>
        <v>1750</v>
      </c>
      <c r="AM44" s="19">
        <f t="shared" si="206"/>
        <v>7000</v>
      </c>
    </row>
    <row r="45" ht="15.75" customHeight="1">
      <c r="A45" s="37" t="s">
        <v>28</v>
      </c>
      <c r="B45" s="19">
        <f>SUM(B43:B44)</f>
        <v>7000</v>
      </c>
      <c r="F45" s="19">
        <f t="shared" ref="F45:H45" si="207">SUM(F43:F44)</f>
        <v>0</v>
      </c>
      <c r="G45" s="19">
        <f t="shared" si="207"/>
        <v>0</v>
      </c>
      <c r="H45" s="19">
        <f t="shared" si="207"/>
        <v>0</v>
      </c>
      <c r="I45" s="20">
        <f t="shared" si="190"/>
        <v>0</v>
      </c>
      <c r="J45" s="19">
        <f t="shared" ref="J45:L45" si="208">SUM(J43:J44)</f>
        <v>0</v>
      </c>
      <c r="K45" s="19">
        <f t="shared" si="208"/>
        <v>583.3333333</v>
      </c>
      <c r="L45" s="19">
        <f t="shared" si="208"/>
        <v>583.3333333</v>
      </c>
      <c r="M45" s="20">
        <f t="shared" si="192"/>
        <v>1166.666667</v>
      </c>
      <c r="N45" s="19">
        <f t="shared" ref="N45:P45" si="209">SUM(N43:N44)</f>
        <v>583.3333333</v>
      </c>
      <c r="O45" s="19">
        <f t="shared" si="209"/>
        <v>583.3333333</v>
      </c>
      <c r="P45" s="19">
        <f t="shared" si="209"/>
        <v>583.3333333</v>
      </c>
      <c r="Q45" s="20">
        <f t="shared" si="194"/>
        <v>1750</v>
      </c>
      <c r="R45" s="19">
        <f t="shared" ref="R45:T45" si="210">SUM(R43:R44)</f>
        <v>583.3333333</v>
      </c>
      <c r="S45" s="19">
        <f t="shared" si="210"/>
        <v>583.3333333</v>
      </c>
      <c r="T45" s="19">
        <f t="shared" si="210"/>
        <v>583.3333333</v>
      </c>
      <c r="U45" s="20">
        <f t="shared" si="196"/>
        <v>1750</v>
      </c>
      <c r="V45" s="19">
        <f t="shared" si="197"/>
        <v>4666.666667</v>
      </c>
      <c r="W45" s="19">
        <f t="shared" ref="W45:Y45" si="211">SUM(W43:W44)</f>
        <v>583.3333333</v>
      </c>
      <c r="X45" s="19">
        <f t="shared" si="211"/>
        <v>583.3333333</v>
      </c>
      <c r="Y45" s="19">
        <f t="shared" si="211"/>
        <v>583.3333333</v>
      </c>
      <c r="Z45" s="20">
        <f t="shared" si="199"/>
        <v>1750</v>
      </c>
      <c r="AA45" s="19">
        <f t="shared" ref="AA45:AC45" si="212">SUM(AA43:AA44)</f>
        <v>583.3333333</v>
      </c>
      <c r="AB45" s="19">
        <f t="shared" si="212"/>
        <v>583.3333333</v>
      </c>
      <c r="AC45" s="19">
        <f t="shared" si="212"/>
        <v>583.3333333</v>
      </c>
      <c r="AD45" s="20">
        <f t="shared" si="201"/>
        <v>1750</v>
      </c>
      <c r="AE45" s="19">
        <f t="shared" ref="AE45:AG45" si="213">SUM(AE43:AE44)</f>
        <v>583.3333333</v>
      </c>
      <c r="AF45" s="19">
        <f t="shared" si="213"/>
        <v>583.3333333</v>
      </c>
      <c r="AG45" s="19">
        <f t="shared" si="213"/>
        <v>583.3333333</v>
      </c>
      <c r="AH45" s="20">
        <f t="shared" si="203"/>
        <v>1750</v>
      </c>
      <c r="AI45" s="19">
        <f t="shared" ref="AI45:AK45" si="214">SUM(AI43:AI44)</f>
        <v>583.3333333</v>
      </c>
      <c r="AJ45" s="19">
        <f t="shared" si="214"/>
        <v>583.3333333</v>
      </c>
      <c r="AK45" s="19">
        <f t="shared" si="214"/>
        <v>583.3333333</v>
      </c>
      <c r="AL45" s="20">
        <f t="shared" si="205"/>
        <v>1750</v>
      </c>
      <c r="AM45" s="19">
        <f t="shared" si="206"/>
        <v>7000</v>
      </c>
    </row>
    <row r="46" ht="15.75" customHeight="1"/>
    <row r="47" ht="18.75" customHeight="1">
      <c r="A47" s="5" t="s">
        <v>42</v>
      </c>
    </row>
    <row r="48" ht="15.75" customHeight="1">
      <c r="A48" s="9" t="s">
        <v>5</v>
      </c>
      <c r="B48" s="10" t="s">
        <v>31</v>
      </c>
      <c r="C48" s="32"/>
      <c r="D48" s="32"/>
      <c r="E48" s="11" t="s">
        <v>32</v>
      </c>
      <c r="F48" s="12">
        <v>46037.0</v>
      </c>
      <c r="G48" s="12">
        <v>46068.0</v>
      </c>
      <c r="H48" s="12">
        <v>46096.0</v>
      </c>
      <c r="I48" s="13" t="s">
        <v>33</v>
      </c>
      <c r="J48" s="12">
        <v>46127.0</v>
      </c>
      <c r="K48" s="12">
        <v>46157.0</v>
      </c>
      <c r="L48" s="12">
        <v>46188.0</v>
      </c>
      <c r="M48" s="13" t="s">
        <v>11</v>
      </c>
      <c r="N48" s="12">
        <v>46218.0</v>
      </c>
      <c r="O48" s="12">
        <v>46249.0</v>
      </c>
      <c r="P48" s="12">
        <v>46280.0</v>
      </c>
      <c r="Q48" s="13" t="s">
        <v>12</v>
      </c>
      <c r="R48" s="12">
        <v>46310.0</v>
      </c>
      <c r="S48" s="12">
        <v>46341.0</v>
      </c>
      <c r="T48" s="12">
        <v>46371.0</v>
      </c>
      <c r="U48" s="13" t="s">
        <v>13</v>
      </c>
      <c r="V48" s="14" t="s">
        <v>14</v>
      </c>
      <c r="W48" s="12">
        <v>46402.0</v>
      </c>
      <c r="X48" s="12">
        <v>46433.0</v>
      </c>
      <c r="Y48" s="12">
        <v>46461.0</v>
      </c>
      <c r="Z48" s="13" t="s">
        <v>15</v>
      </c>
      <c r="AA48" s="12">
        <v>46492.0</v>
      </c>
      <c r="AB48" s="12">
        <v>46522.0</v>
      </c>
      <c r="AC48" s="12">
        <v>46553.0</v>
      </c>
      <c r="AD48" s="13" t="s">
        <v>16</v>
      </c>
      <c r="AE48" s="12">
        <v>46583.0</v>
      </c>
      <c r="AF48" s="12">
        <v>46614.0</v>
      </c>
      <c r="AG48" s="12">
        <v>46645.0</v>
      </c>
      <c r="AH48" s="13" t="s">
        <v>17</v>
      </c>
      <c r="AI48" s="12">
        <v>46675.0</v>
      </c>
      <c r="AJ48" s="12">
        <v>46706.0</v>
      </c>
      <c r="AK48" s="12">
        <v>46736.0</v>
      </c>
      <c r="AL48" s="13" t="s">
        <v>18</v>
      </c>
      <c r="AM48" s="14" t="s">
        <v>19</v>
      </c>
    </row>
    <row r="49" ht="15.75" customHeight="1">
      <c r="A49" s="36" t="s">
        <v>43</v>
      </c>
      <c r="B49" s="19">
        <f>B19+B29+B38+B45</f>
        <v>158500</v>
      </c>
      <c r="F49" s="19">
        <f t="shared" ref="F49:H49" si="215">F19+F29+F38+F45</f>
        <v>4666.666667</v>
      </c>
      <c r="G49" s="19">
        <f t="shared" si="215"/>
        <v>4666.666667</v>
      </c>
      <c r="H49" s="19">
        <f t="shared" si="215"/>
        <v>4666.666667</v>
      </c>
      <c r="I49" s="20">
        <f>SUM(F49:H49)</f>
        <v>14000</v>
      </c>
      <c r="J49" s="19">
        <f t="shared" ref="J49:L49" si="216">J19+J29+J38+J45</f>
        <v>4666.666667</v>
      </c>
      <c r="K49" s="19">
        <f t="shared" si="216"/>
        <v>5250</v>
      </c>
      <c r="L49" s="19">
        <f t="shared" si="216"/>
        <v>5250</v>
      </c>
      <c r="M49" s="20">
        <f>SUM(J49:L49)</f>
        <v>15166.66667</v>
      </c>
      <c r="N49" s="19">
        <f t="shared" ref="N49:P49" si="217">N19+N29+N38+N45</f>
        <v>14333.33333</v>
      </c>
      <c r="O49" s="19">
        <f t="shared" si="217"/>
        <v>14333.33333</v>
      </c>
      <c r="P49" s="19">
        <f t="shared" si="217"/>
        <v>14333.33333</v>
      </c>
      <c r="Q49" s="20">
        <f>SUM(N49:P49)</f>
        <v>43000</v>
      </c>
      <c r="R49" s="19">
        <f t="shared" ref="R49:T49" si="218">R19+R29+R38+R45</f>
        <v>14333.33333</v>
      </c>
      <c r="S49" s="19">
        <f t="shared" si="218"/>
        <v>14333.33333</v>
      </c>
      <c r="T49" s="19">
        <f t="shared" si="218"/>
        <v>14333.33333</v>
      </c>
      <c r="U49" s="20">
        <f>SUM(R49:T49)</f>
        <v>43000</v>
      </c>
      <c r="V49" s="19">
        <f>I49+M49+Q49+U49</f>
        <v>115166.6667</v>
      </c>
      <c r="W49" s="19">
        <f t="shared" ref="W49:Y49" si="219">W19+W29+W38+W45</f>
        <v>14333.33333</v>
      </c>
      <c r="X49" s="19">
        <f t="shared" si="219"/>
        <v>14333.33333</v>
      </c>
      <c r="Y49" s="19">
        <f t="shared" si="219"/>
        <v>14333.33333</v>
      </c>
      <c r="Z49" s="20">
        <f>SUM(W49:Y49)</f>
        <v>43000</v>
      </c>
      <c r="AA49" s="19">
        <f t="shared" ref="AA49:AC49" si="220">AA19+AA29+AA38+AA45</f>
        <v>14333.33333</v>
      </c>
      <c r="AB49" s="19">
        <f t="shared" si="220"/>
        <v>14333.33333</v>
      </c>
      <c r="AC49" s="19">
        <f t="shared" si="220"/>
        <v>14333.33333</v>
      </c>
      <c r="AD49" s="20">
        <f>SUM(AA49:AC49)</f>
        <v>43000</v>
      </c>
      <c r="AE49" s="19">
        <f t="shared" ref="AE49:AG49" si="221">AE19+AE29+AE38+AE45</f>
        <v>14333.33333</v>
      </c>
      <c r="AF49" s="19">
        <f t="shared" si="221"/>
        <v>14333.33333</v>
      </c>
      <c r="AG49" s="19">
        <f t="shared" si="221"/>
        <v>14333.33333</v>
      </c>
      <c r="AH49" s="20">
        <f>SUM(AE49:AG49)</f>
        <v>43000</v>
      </c>
      <c r="AI49" s="19">
        <f t="shared" ref="AI49:AK49" si="222">AI19+AI29+AI38+AI45</f>
        <v>14333.33333</v>
      </c>
      <c r="AJ49" s="19">
        <f t="shared" si="222"/>
        <v>14333.33333</v>
      </c>
      <c r="AK49" s="19">
        <f t="shared" si="222"/>
        <v>14333.33333</v>
      </c>
      <c r="AL49" s="20">
        <f>SUM(AI49:AK49)</f>
        <v>43000</v>
      </c>
      <c r="AM49" s="19">
        <f>Z49+AD49+AH49+AL49</f>
        <v>172000</v>
      </c>
    </row>
    <row r="50" ht="15.75" customHeight="1"/>
    <row r="51" ht="15.75" customHeight="1"/>
    <row r="52" ht="21.0" customHeight="1">
      <c r="A52" s="39" t="s">
        <v>44</v>
      </c>
      <c r="B52" s="40"/>
    </row>
    <row r="53" ht="18.75" customHeight="1">
      <c r="A53" s="41" t="s">
        <v>45</v>
      </c>
      <c r="B53" s="42">
        <f>-(V49/12)</f>
        <v>-9597.222222</v>
      </c>
    </row>
    <row r="54" ht="18.75" customHeight="1">
      <c r="A54" s="41" t="s">
        <v>46</v>
      </c>
      <c r="B54" s="42">
        <f>B2</f>
        <v>100000</v>
      </c>
    </row>
    <row r="55" ht="37.5" customHeight="1">
      <c r="A55" s="43" t="s">
        <v>47</v>
      </c>
      <c r="B55" s="44">
        <f>-(B54/B53)</f>
        <v>10.41968162</v>
      </c>
    </row>
    <row r="56" ht="15.75" customHeight="1"/>
    <row r="57" ht="21.0" customHeight="1">
      <c r="A57" s="39" t="s">
        <v>48</v>
      </c>
      <c r="B57" s="40"/>
    </row>
    <row r="58" ht="18.75" customHeight="1">
      <c r="A58" s="41" t="s">
        <v>45</v>
      </c>
      <c r="B58" s="42">
        <f>-(V49/12)</f>
        <v>-9597.222222</v>
      </c>
    </row>
    <row r="59" ht="18.75" customHeight="1">
      <c r="A59" s="41" t="s">
        <v>46</v>
      </c>
      <c r="B59" s="42">
        <f>B2</f>
        <v>100000</v>
      </c>
    </row>
    <row r="60" ht="18.75" customHeight="1">
      <c r="A60" s="45" t="s">
        <v>49</v>
      </c>
      <c r="B60" s="42">
        <f>'App Purchase Revenue'!M20</f>
        <v>56917</v>
      </c>
    </row>
    <row r="61" ht="18.75" customHeight="1">
      <c r="A61" s="41" t="s">
        <v>50</v>
      </c>
      <c r="B61" s="42">
        <f>B59+B60</f>
        <v>156917</v>
      </c>
    </row>
    <row r="62" ht="57.0" customHeight="1">
      <c r="A62" s="43" t="s">
        <v>47</v>
      </c>
      <c r="B62" s="44">
        <f>-(B61/B58)</f>
        <v>16.35025181</v>
      </c>
    </row>
    <row r="63" ht="15.75" customHeight="1"/>
    <row r="64" ht="21.0" customHeight="1"/>
    <row r="65" ht="18.75" customHeight="1"/>
    <row r="66" ht="18.75" customHeight="1"/>
    <row r="67" ht="37.5" customHeight="1"/>
    <row r="68" ht="18.75" customHeight="1"/>
    <row r="69" ht="57.0"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4:D4"/>
    <mergeCell ref="B7:E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0"/>
    <col customWidth="1" min="2" max="13" width="14.0"/>
    <col customWidth="1" min="14" max="26" width="10.44"/>
  </cols>
  <sheetData>
    <row r="1" ht="18.75" customHeight="1">
      <c r="A1" s="46" t="s">
        <v>51</v>
      </c>
      <c r="B1" s="47"/>
      <c r="C1" s="47"/>
      <c r="D1" s="47"/>
      <c r="E1" s="47"/>
      <c r="F1" s="47"/>
      <c r="G1" s="47"/>
      <c r="H1" s="47"/>
      <c r="I1" s="47"/>
      <c r="J1" s="47"/>
      <c r="K1" s="47"/>
      <c r="L1" s="47"/>
      <c r="M1" s="47"/>
      <c r="N1" s="47"/>
      <c r="O1" s="47"/>
      <c r="P1" s="47"/>
      <c r="Q1" s="47"/>
      <c r="R1" s="47"/>
      <c r="S1" s="47"/>
      <c r="T1" s="47"/>
      <c r="U1" s="47"/>
      <c r="V1" s="47"/>
    </row>
    <row r="2" ht="18.75" customHeight="1">
      <c r="A2" s="5"/>
    </row>
    <row r="3" ht="18.75" customHeight="1">
      <c r="A3" s="5"/>
    </row>
    <row r="4" ht="18.75" customHeight="1">
      <c r="A4" s="5"/>
    </row>
    <row r="5" ht="18.75" customHeight="1">
      <c r="A5" s="48" t="s">
        <v>52</v>
      </c>
      <c r="B5" s="49"/>
      <c r="C5" s="47"/>
      <c r="D5" s="47"/>
      <c r="E5" s="47"/>
      <c r="F5" s="47"/>
      <c r="G5" s="47"/>
      <c r="H5" s="47"/>
      <c r="I5" s="47"/>
      <c r="J5" s="47"/>
      <c r="K5" s="47"/>
      <c r="L5" s="47"/>
      <c r="M5" s="47"/>
      <c r="N5" s="47"/>
      <c r="O5" s="47"/>
      <c r="P5" s="47"/>
      <c r="Q5" s="47"/>
      <c r="R5" s="47"/>
      <c r="S5" s="47"/>
      <c r="T5" s="47"/>
      <c r="U5" s="47"/>
      <c r="V5" s="47"/>
    </row>
    <row r="6" ht="15.75" customHeight="1">
      <c r="A6" s="50" t="s">
        <v>53</v>
      </c>
      <c r="B6" s="51">
        <v>5.0</v>
      </c>
      <c r="C6" s="47"/>
      <c r="D6" s="52" t="s">
        <v>54</v>
      </c>
      <c r="E6" s="47"/>
      <c r="F6" s="47"/>
      <c r="G6" s="47"/>
      <c r="H6" s="47"/>
      <c r="I6" s="47"/>
      <c r="J6" s="47"/>
      <c r="K6" s="47"/>
      <c r="L6" s="47"/>
      <c r="M6" s="47"/>
      <c r="N6" s="47"/>
      <c r="O6" s="47"/>
      <c r="P6" s="47"/>
      <c r="Q6" s="47"/>
      <c r="R6" s="47"/>
      <c r="S6" s="47"/>
      <c r="T6" s="47"/>
      <c r="U6" s="47"/>
      <c r="V6" s="47"/>
    </row>
    <row r="7" ht="15.75" customHeight="1">
      <c r="A7" s="53" t="s">
        <v>55</v>
      </c>
      <c r="B7" s="54">
        <v>0.3</v>
      </c>
      <c r="C7" s="47"/>
      <c r="D7" s="47"/>
      <c r="E7" s="47"/>
      <c r="F7" s="47"/>
      <c r="G7" s="47"/>
      <c r="H7" s="47"/>
      <c r="I7" s="47"/>
      <c r="J7" s="47"/>
      <c r="K7" s="47"/>
      <c r="L7" s="47"/>
      <c r="M7" s="47"/>
      <c r="N7" s="47"/>
      <c r="O7" s="47"/>
      <c r="P7" s="47"/>
      <c r="Q7" s="47"/>
      <c r="R7" s="47"/>
      <c r="S7" s="47"/>
      <c r="T7" s="47"/>
      <c r="U7" s="47"/>
      <c r="V7" s="47"/>
    </row>
    <row r="8" ht="15.75" customHeight="1">
      <c r="A8" s="55" t="s">
        <v>56</v>
      </c>
      <c r="B8" s="56">
        <f>B6*(1-B7)</f>
        <v>3.5</v>
      </c>
      <c r="C8" s="47"/>
      <c r="D8" s="47"/>
      <c r="E8" s="47"/>
      <c r="F8" s="47"/>
      <c r="G8" s="47"/>
      <c r="H8" s="47"/>
      <c r="I8" s="47"/>
      <c r="J8" s="47"/>
      <c r="K8" s="47"/>
      <c r="L8" s="47"/>
      <c r="M8" s="47"/>
      <c r="N8" s="47"/>
      <c r="O8" s="47"/>
      <c r="P8" s="47"/>
      <c r="Q8" s="47"/>
      <c r="R8" s="47"/>
      <c r="S8" s="47"/>
      <c r="T8" s="47"/>
      <c r="U8" s="47"/>
      <c r="V8" s="47"/>
    </row>
    <row r="9" ht="15.75" customHeight="1">
      <c r="A9" s="57"/>
      <c r="B9" s="58"/>
      <c r="C9" s="59"/>
      <c r="D9" s="58"/>
      <c r="E9" s="58"/>
      <c r="F9" s="59"/>
      <c r="G9" s="58"/>
      <c r="H9" s="58"/>
      <c r="I9" s="59"/>
      <c r="J9" s="58"/>
      <c r="K9" s="58"/>
      <c r="L9" s="60"/>
      <c r="M9" s="59"/>
      <c r="N9" s="57"/>
      <c r="O9" s="61"/>
      <c r="P9" s="62"/>
      <c r="Q9" s="57"/>
      <c r="R9" s="61"/>
      <c r="S9" s="62"/>
      <c r="T9" s="57"/>
      <c r="U9" s="61"/>
      <c r="V9" s="62"/>
      <c r="W9" s="63"/>
      <c r="X9" s="64"/>
      <c r="Y9" s="64"/>
    </row>
    <row r="10" ht="15.75" customHeight="1">
      <c r="A10" s="65" t="s">
        <v>57</v>
      </c>
      <c r="B10" s="66"/>
      <c r="C10" s="66"/>
      <c r="D10" s="66"/>
      <c r="E10" s="66"/>
      <c r="F10" s="66"/>
      <c r="G10" s="66"/>
      <c r="H10" s="66"/>
      <c r="I10" s="66"/>
      <c r="J10" s="66"/>
      <c r="K10" s="47"/>
      <c r="L10" s="47"/>
      <c r="M10" s="47"/>
      <c r="N10" s="47"/>
      <c r="O10" s="47"/>
      <c r="P10" s="47"/>
      <c r="Q10" s="47"/>
      <c r="R10" s="47"/>
      <c r="S10" s="47"/>
      <c r="T10" s="47"/>
      <c r="U10" s="47"/>
      <c r="V10" s="47"/>
    </row>
    <row r="11" ht="15.75" customHeight="1">
      <c r="A11" s="67" t="s">
        <v>58</v>
      </c>
      <c r="B11" s="68">
        <v>3000.0</v>
      </c>
      <c r="C11" s="69">
        <f t="shared" ref="C11:Y11" si="1">B11*(1+$B$12)</f>
        <v>3750</v>
      </c>
      <c r="D11" s="69">
        <f t="shared" si="1"/>
        <v>4687.5</v>
      </c>
      <c r="E11" s="69">
        <f t="shared" si="1"/>
        <v>5859.375</v>
      </c>
      <c r="F11" s="69">
        <f t="shared" si="1"/>
        <v>7324.21875</v>
      </c>
      <c r="G11" s="69">
        <f t="shared" si="1"/>
        <v>9155.273438</v>
      </c>
      <c r="H11" s="69">
        <f t="shared" si="1"/>
        <v>11444.0918</v>
      </c>
      <c r="I11" s="69">
        <f t="shared" si="1"/>
        <v>14305.11475</v>
      </c>
      <c r="J11" s="69">
        <f t="shared" si="1"/>
        <v>17881.39343</v>
      </c>
      <c r="K11" s="69">
        <f t="shared" si="1"/>
        <v>22351.74179</v>
      </c>
      <c r="L11" s="69">
        <f t="shared" si="1"/>
        <v>27939.67724</v>
      </c>
      <c r="M11" s="69">
        <f t="shared" si="1"/>
        <v>34924.59655</v>
      </c>
      <c r="N11" s="69">
        <f t="shared" si="1"/>
        <v>43655.74569</v>
      </c>
      <c r="O11" s="69">
        <f t="shared" si="1"/>
        <v>54569.68211</v>
      </c>
      <c r="P11" s="69">
        <f t="shared" si="1"/>
        <v>68212.10263</v>
      </c>
      <c r="Q11" s="69">
        <f t="shared" si="1"/>
        <v>85265.12829</v>
      </c>
      <c r="R11" s="69">
        <f t="shared" si="1"/>
        <v>106581.4104</v>
      </c>
      <c r="S11" s="69">
        <f t="shared" si="1"/>
        <v>133226.763</v>
      </c>
      <c r="T11" s="69">
        <f t="shared" si="1"/>
        <v>166533.4537</v>
      </c>
      <c r="U11" s="69">
        <f t="shared" si="1"/>
        <v>208166.8171</v>
      </c>
      <c r="V11" s="69">
        <f t="shared" si="1"/>
        <v>260208.5214</v>
      </c>
      <c r="W11" s="69">
        <f t="shared" si="1"/>
        <v>325260.6517</v>
      </c>
      <c r="X11" s="69">
        <f t="shared" si="1"/>
        <v>406575.8147</v>
      </c>
      <c r="Y11" s="69">
        <f t="shared" si="1"/>
        <v>508219.7684</v>
      </c>
    </row>
    <row r="12" ht="15.75" customHeight="1">
      <c r="A12" s="67" t="s">
        <v>59</v>
      </c>
      <c r="B12" s="70">
        <v>0.25</v>
      </c>
      <c r="C12" s="47"/>
      <c r="D12" s="47"/>
      <c r="E12" s="47"/>
      <c r="F12" s="47"/>
      <c r="G12" s="47"/>
      <c r="H12" s="47"/>
      <c r="I12" s="47"/>
      <c r="J12" s="47"/>
      <c r="K12" s="47"/>
      <c r="L12" s="47"/>
      <c r="M12" s="47"/>
      <c r="N12" s="47"/>
      <c r="O12" s="47"/>
      <c r="P12" s="47"/>
      <c r="Q12" s="47"/>
      <c r="R12" s="47"/>
      <c r="S12" s="47"/>
      <c r="T12" s="47"/>
      <c r="U12" s="47"/>
      <c r="V12" s="47"/>
      <c r="W12" s="71"/>
      <c r="X12" s="71"/>
      <c r="Y12" s="71"/>
      <c r="Z12" s="71"/>
    </row>
    <row r="13" ht="15.75" customHeight="1">
      <c r="A13" s="67" t="s">
        <v>60</v>
      </c>
      <c r="B13" s="72">
        <v>0.1</v>
      </c>
      <c r="C13" s="47"/>
      <c r="D13" s="47"/>
      <c r="E13" s="47"/>
      <c r="F13" s="47"/>
      <c r="G13" s="47"/>
      <c r="H13" s="47"/>
      <c r="I13" s="47"/>
      <c r="J13" s="47"/>
      <c r="K13" s="47"/>
      <c r="L13" s="47"/>
      <c r="M13" s="47"/>
      <c r="N13" s="47"/>
      <c r="O13" s="47"/>
      <c r="P13" s="47"/>
      <c r="Q13" s="47"/>
      <c r="R13" s="47"/>
      <c r="S13" s="47"/>
      <c r="T13" s="47"/>
      <c r="U13" s="47"/>
      <c r="V13" s="47"/>
    </row>
    <row r="14" ht="15.75" customHeight="1">
      <c r="A14" s="50" t="s">
        <v>61</v>
      </c>
      <c r="B14" s="73">
        <f t="shared" ref="B14:Y14" si="2">ROUND(B11*$B$13,0)</f>
        <v>300</v>
      </c>
      <c r="C14" s="73">
        <f t="shared" si="2"/>
        <v>375</v>
      </c>
      <c r="D14" s="73">
        <f t="shared" si="2"/>
        <v>469</v>
      </c>
      <c r="E14" s="73">
        <f t="shared" si="2"/>
        <v>586</v>
      </c>
      <c r="F14" s="73">
        <f t="shared" si="2"/>
        <v>732</v>
      </c>
      <c r="G14" s="73">
        <f t="shared" si="2"/>
        <v>916</v>
      </c>
      <c r="H14" s="73">
        <f t="shared" si="2"/>
        <v>1144</v>
      </c>
      <c r="I14" s="73">
        <f t="shared" si="2"/>
        <v>1431</v>
      </c>
      <c r="J14" s="73">
        <f t="shared" si="2"/>
        <v>1788</v>
      </c>
      <c r="K14" s="73">
        <f t="shared" si="2"/>
        <v>2235</v>
      </c>
      <c r="L14" s="74">
        <f t="shared" si="2"/>
        <v>2794</v>
      </c>
      <c r="M14" s="75">
        <f t="shared" si="2"/>
        <v>3492</v>
      </c>
      <c r="N14" s="76">
        <f t="shared" si="2"/>
        <v>4366</v>
      </c>
      <c r="O14" s="73">
        <f t="shared" si="2"/>
        <v>5457</v>
      </c>
      <c r="P14" s="73">
        <f t="shared" si="2"/>
        <v>6821</v>
      </c>
      <c r="Q14" s="73">
        <f t="shared" si="2"/>
        <v>8527</v>
      </c>
      <c r="R14" s="73">
        <f t="shared" si="2"/>
        <v>10658</v>
      </c>
      <c r="S14" s="73">
        <f t="shared" si="2"/>
        <v>13323</v>
      </c>
      <c r="T14" s="73">
        <f t="shared" si="2"/>
        <v>16653</v>
      </c>
      <c r="U14" s="73">
        <f t="shared" si="2"/>
        <v>20817</v>
      </c>
      <c r="V14" s="73">
        <f t="shared" si="2"/>
        <v>26021</v>
      </c>
      <c r="W14" s="74">
        <f t="shared" si="2"/>
        <v>32526</v>
      </c>
      <c r="X14" s="75">
        <f t="shared" si="2"/>
        <v>40658</v>
      </c>
      <c r="Y14" s="75">
        <f t="shared" si="2"/>
        <v>50822</v>
      </c>
    </row>
    <row r="15" ht="15.75" customHeight="1">
      <c r="A15" s="67" t="s">
        <v>62</v>
      </c>
      <c r="B15" s="72">
        <v>1.0</v>
      </c>
      <c r="C15" s="47"/>
      <c r="D15" s="47"/>
      <c r="E15" s="47"/>
      <c r="F15" s="47"/>
      <c r="G15" s="47"/>
      <c r="H15" s="47"/>
      <c r="I15" s="47"/>
      <c r="J15" s="47"/>
      <c r="K15" s="47"/>
      <c r="L15" s="47"/>
      <c r="M15" s="47"/>
      <c r="N15" s="47"/>
      <c r="O15" s="47"/>
      <c r="P15" s="47"/>
      <c r="Q15" s="47"/>
      <c r="R15" s="47"/>
      <c r="S15" s="47"/>
      <c r="T15" s="47"/>
      <c r="U15" s="47"/>
      <c r="V15" s="47"/>
    </row>
    <row r="16" ht="15.75" customHeight="1">
      <c r="A16" s="50" t="s">
        <v>63</v>
      </c>
      <c r="B16" s="73">
        <f t="shared" ref="B16:Y16" si="3">ROUND(B14*$B$15,0)</f>
        <v>300</v>
      </c>
      <c r="C16" s="73">
        <f t="shared" si="3"/>
        <v>375</v>
      </c>
      <c r="D16" s="73">
        <f t="shared" si="3"/>
        <v>469</v>
      </c>
      <c r="E16" s="73">
        <f t="shared" si="3"/>
        <v>586</v>
      </c>
      <c r="F16" s="73">
        <f t="shared" si="3"/>
        <v>732</v>
      </c>
      <c r="G16" s="73">
        <f t="shared" si="3"/>
        <v>916</v>
      </c>
      <c r="H16" s="73">
        <f t="shared" si="3"/>
        <v>1144</v>
      </c>
      <c r="I16" s="73">
        <f t="shared" si="3"/>
        <v>1431</v>
      </c>
      <c r="J16" s="73">
        <f t="shared" si="3"/>
        <v>1788</v>
      </c>
      <c r="K16" s="73">
        <f t="shared" si="3"/>
        <v>2235</v>
      </c>
      <c r="L16" s="74">
        <f t="shared" si="3"/>
        <v>2794</v>
      </c>
      <c r="M16" s="75">
        <f t="shared" si="3"/>
        <v>3492</v>
      </c>
      <c r="N16" s="76">
        <f t="shared" si="3"/>
        <v>4366</v>
      </c>
      <c r="O16" s="73">
        <f t="shared" si="3"/>
        <v>5457</v>
      </c>
      <c r="P16" s="73">
        <f t="shared" si="3"/>
        <v>6821</v>
      </c>
      <c r="Q16" s="73">
        <f t="shared" si="3"/>
        <v>8527</v>
      </c>
      <c r="R16" s="73">
        <f t="shared" si="3"/>
        <v>10658</v>
      </c>
      <c r="S16" s="73">
        <f t="shared" si="3"/>
        <v>13323</v>
      </c>
      <c r="T16" s="73">
        <f t="shared" si="3"/>
        <v>16653</v>
      </c>
      <c r="U16" s="73">
        <f t="shared" si="3"/>
        <v>20817</v>
      </c>
      <c r="V16" s="73">
        <f t="shared" si="3"/>
        <v>26021</v>
      </c>
      <c r="W16" s="74">
        <f t="shared" si="3"/>
        <v>32526</v>
      </c>
      <c r="X16" s="75">
        <f t="shared" si="3"/>
        <v>40658</v>
      </c>
      <c r="Y16" s="75">
        <f t="shared" si="3"/>
        <v>50822</v>
      </c>
    </row>
    <row r="17" ht="15.75" customHeight="1">
      <c r="A17" s="77" t="s">
        <v>64</v>
      </c>
      <c r="B17" s="78">
        <f t="shared" ref="B17:Y17" si="4">B16*$B$8</f>
        <v>1050</v>
      </c>
      <c r="C17" s="78">
        <f t="shared" si="4"/>
        <v>1312.5</v>
      </c>
      <c r="D17" s="78">
        <f t="shared" si="4"/>
        <v>1641.5</v>
      </c>
      <c r="E17" s="78">
        <f t="shared" si="4"/>
        <v>2051</v>
      </c>
      <c r="F17" s="78">
        <f t="shared" si="4"/>
        <v>2562</v>
      </c>
      <c r="G17" s="78">
        <f t="shared" si="4"/>
        <v>3206</v>
      </c>
      <c r="H17" s="78">
        <f t="shared" si="4"/>
        <v>4004</v>
      </c>
      <c r="I17" s="78">
        <f t="shared" si="4"/>
        <v>5008.5</v>
      </c>
      <c r="J17" s="78">
        <f t="shared" si="4"/>
        <v>6258</v>
      </c>
      <c r="K17" s="78">
        <f t="shared" si="4"/>
        <v>7822.5</v>
      </c>
      <c r="L17" s="79">
        <f t="shared" si="4"/>
        <v>9779</v>
      </c>
      <c r="M17" s="80">
        <f t="shared" si="4"/>
        <v>12222</v>
      </c>
      <c r="N17" s="81">
        <f t="shared" si="4"/>
        <v>15281</v>
      </c>
      <c r="O17" s="78">
        <f t="shared" si="4"/>
        <v>19099.5</v>
      </c>
      <c r="P17" s="78">
        <f t="shared" si="4"/>
        <v>23873.5</v>
      </c>
      <c r="Q17" s="78">
        <f t="shared" si="4"/>
        <v>29844.5</v>
      </c>
      <c r="R17" s="78">
        <f t="shared" si="4"/>
        <v>37303</v>
      </c>
      <c r="S17" s="78">
        <f t="shared" si="4"/>
        <v>46630.5</v>
      </c>
      <c r="T17" s="78">
        <f t="shared" si="4"/>
        <v>58285.5</v>
      </c>
      <c r="U17" s="78">
        <f t="shared" si="4"/>
        <v>72859.5</v>
      </c>
      <c r="V17" s="78">
        <f t="shared" si="4"/>
        <v>91073.5</v>
      </c>
      <c r="W17" s="79">
        <f t="shared" si="4"/>
        <v>113841</v>
      </c>
      <c r="X17" s="80">
        <f t="shared" si="4"/>
        <v>142303</v>
      </c>
      <c r="Y17" s="80">
        <f t="shared" si="4"/>
        <v>177877</v>
      </c>
    </row>
    <row r="18" ht="15.75" customHeight="1">
      <c r="A18" s="67" t="s">
        <v>65</v>
      </c>
      <c r="B18" s="47"/>
      <c r="C18" s="82">
        <f t="shared" ref="C18:Y18" si="5">(C17-B17)/B17</f>
        <v>0.25</v>
      </c>
      <c r="D18" s="82">
        <f t="shared" si="5"/>
        <v>0.2506666667</v>
      </c>
      <c r="E18" s="82">
        <f t="shared" si="5"/>
        <v>0.249466951</v>
      </c>
      <c r="F18" s="82">
        <f t="shared" si="5"/>
        <v>0.2491467577</v>
      </c>
      <c r="G18" s="82">
        <f t="shared" si="5"/>
        <v>0.2513661202</v>
      </c>
      <c r="H18" s="82">
        <f t="shared" si="5"/>
        <v>0.2489082969</v>
      </c>
      <c r="I18" s="82">
        <f t="shared" si="5"/>
        <v>0.2508741259</v>
      </c>
      <c r="J18" s="82">
        <f t="shared" si="5"/>
        <v>0.249475891</v>
      </c>
      <c r="K18" s="82">
        <f t="shared" si="5"/>
        <v>0.25</v>
      </c>
      <c r="L18" s="82">
        <f t="shared" si="5"/>
        <v>0.2501118568</v>
      </c>
      <c r="M18" s="82">
        <f t="shared" si="5"/>
        <v>0.2498210451</v>
      </c>
      <c r="N18" s="82">
        <f t="shared" si="5"/>
        <v>0.2502863688</v>
      </c>
      <c r="O18" s="82">
        <f t="shared" si="5"/>
        <v>0.2498854787</v>
      </c>
      <c r="P18" s="82">
        <f t="shared" si="5"/>
        <v>0.2499541873</v>
      </c>
      <c r="Q18" s="82">
        <f t="shared" si="5"/>
        <v>0.2501099546</v>
      </c>
      <c r="R18" s="82">
        <f t="shared" si="5"/>
        <v>0.2499120441</v>
      </c>
      <c r="S18" s="82">
        <f t="shared" si="5"/>
        <v>0.2500469131</v>
      </c>
      <c r="T18" s="82">
        <f t="shared" si="5"/>
        <v>0.2499437064</v>
      </c>
      <c r="U18" s="82">
        <f t="shared" si="5"/>
        <v>0.2500450369</v>
      </c>
      <c r="V18" s="82">
        <f t="shared" si="5"/>
        <v>0.2499879906</v>
      </c>
      <c r="W18" s="82">
        <f t="shared" si="5"/>
        <v>0.2499903924</v>
      </c>
      <c r="X18" s="82">
        <f t="shared" si="5"/>
        <v>0.2500153723</v>
      </c>
      <c r="Y18" s="82">
        <f t="shared" si="5"/>
        <v>0.2499877023</v>
      </c>
    </row>
    <row r="19" ht="15.75" customHeight="1">
      <c r="A19" s="50" t="s">
        <v>66</v>
      </c>
      <c r="B19" s="73">
        <f>B14</f>
        <v>300</v>
      </c>
      <c r="C19" s="73">
        <f t="shared" ref="C19:Y19" si="6">B19+C14</f>
        <v>675</v>
      </c>
      <c r="D19" s="73">
        <f t="shared" si="6"/>
        <v>1144</v>
      </c>
      <c r="E19" s="73">
        <f t="shared" si="6"/>
        <v>1730</v>
      </c>
      <c r="F19" s="73">
        <f t="shared" si="6"/>
        <v>2462</v>
      </c>
      <c r="G19" s="73">
        <f t="shared" si="6"/>
        <v>3378</v>
      </c>
      <c r="H19" s="73">
        <f t="shared" si="6"/>
        <v>4522</v>
      </c>
      <c r="I19" s="73">
        <f t="shared" si="6"/>
        <v>5953</v>
      </c>
      <c r="J19" s="73">
        <f t="shared" si="6"/>
        <v>7741</v>
      </c>
      <c r="K19" s="73">
        <f t="shared" si="6"/>
        <v>9976</v>
      </c>
      <c r="L19" s="74">
        <f t="shared" si="6"/>
        <v>12770</v>
      </c>
      <c r="M19" s="75">
        <f t="shared" si="6"/>
        <v>16262</v>
      </c>
      <c r="N19" s="76">
        <f t="shared" si="6"/>
        <v>20628</v>
      </c>
      <c r="O19" s="73">
        <f t="shared" si="6"/>
        <v>26085</v>
      </c>
      <c r="P19" s="73">
        <f t="shared" si="6"/>
        <v>32906</v>
      </c>
      <c r="Q19" s="73">
        <f t="shared" si="6"/>
        <v>41433</v>
      </c>
      <c r="R19" s="73">
        <f t="shared" si="6"/>
        <v>52091</v>
      </c>
      <c r="S19" s="73">
        <f t="shared" si="6"/>
        <v>65414</v>
      </c>
      <c r="T19" s="73">
        <f t="shared" si="6"/>
        <v>82067</v>
      </c>
      <c r="U19" s="73">
        <f t="shared" si="6"/>
        <v>102884</v>
      </c>
      <c r="V19" s="73">
        <f t="shared" si="6"/>
        <v>128905</v>
      </c>
      <c r="W19" s="74">
        <f t="shared" si="6"/>
        <v>161431</v>
      </c>
      <c r="X19" s="75">
        <f t="shared" si="6"/>
        <v>202089</v>
      </c>
      <c r="Y19" s="75">
        <f t="shared" si="6"/>
        <v>252911</v>
      </c>
    </row>
    <row r="20" ht="15.75" customHeight="1">
      <c r="A20" s="50" t="s">
        <v>67</v>
      </c>
      <c r="B20" s="78">
        <f>B17</f>
        <v>1050</v>
      </c>
      <c r="C20" s="78">
        <f t="shared" ref="C20:Y20" si="7">B20+C17</f>
        <v>2362.5</v>
      </c>
      <c r="D20" s="78">
        <f t="shared" si="7"/>
        <v>4004</v>
      </c>
      <c r="E20" s="78">
        <f t="shared" si="7"/>
        <v>6055</v>
      </c>
      <c r="F20" s="78">
        <f t="shared" si="7"/>
        <v>8617</v>
      </c>
      <c r="G20" s="78">
        <f t="shared" si="7"/>
        <v>11823</v>
      </c>
      <c r="H20" s="78">
        <f t="shared" si="7"/>
        <v>15827</v>
      </c>
      <c r="I20" s="78">
        <f t="shared" si="7"/>
        <v>20835.5</v>
      </c>
      <c r="J20" s="78">
        <f t="shared" si="7"/>
        <v>27093.5</v>
      </c>
      <c r="K20" s="78">
        <f t="shared" si="7"/>
        <v>34916</v>
      </c>
      <c r="L20" s="79">
        <f t="shared" si="7"/>
        <v>44695</v>
      </c>
      <c r="M20" s="80">
        <f t="shared" si="7"/>
        <v>56917</v>
      </c>
      <c r="N20" s="81">
        <f t="shared" si="7"/>
        <v>72198</v>
      </c>
      <c r="O20" s="78">
        <f t="shared" si="7"/>
        <v>91297.5</v>
      </c>
      <c r="P20" s="78">
        <f t="shared" si="7"/>
        <v>115171</v>
      </c>
      <c r="Q20" s="78">
        <f t="shared" si="7"/>
        <v>145015.5</v>
      </c>
      <c r="R20" s="78">
        <f t="shared" si="7"/>
        <v>182318.5</v>
      </c>
      <c r="S20" s="78">
        <f t="shared" si="7"/>
        <v>228949</v>
      </c>
      <c r="T20" s="78">
        <f t="shared" si="7"/>
        <v>287234.5</v>
      </c>
      <c r="U20" s="78">
        <f t="shared" si="7"/>
        <v>360094</v>
      </c>
      <c r="V20" s="78">
        <f t="shared" si="7"/>
        <v>451167.5</v>
      </c>
      <c r="W20" s="79">
        <f t="shared" si="7"/>
        <v>565008.5</v>
      </c>
      <c r="X20" s="80">
        <f t="shared" si="7"/>
        <v>707311.5</v>
      </c>
      <c r="Y20" s="80">
        <f t="shared" si="7"/>
        <v>885188.5</v>
      </c>
    </row>
    <row r="21" ht="15.75" customHeight="1">
      <c r="A21" s="83"/>
      <c r="B21" s="84"/>
      <c r="C21" s="84"/>
      <c r="D21" s="84"/>
      <c r="E21" s="84"/>
      <c r="F21" s="84"/>
      <c r="G21" s="84"/>
      <c r="H21" s="84"/>
      <c r="I21" s="84"/>
      <c r="J21" s="84"/>
      <c r="K21" s="84"/>
      <c r="L21" s="84"/>
      <c r="M21" s="84"/>
      <c r="N21" s="84"/>
      <c r="O21" s="84"/>
      <c r="P21" s="84"/>
      <c r="Q21" s="84"/>
      <c r="R21" s="84"/>
      <c r="S21" s="84"/>
      <c r="T21" s="84"/>
      <c r="U21" s="84"/>
      <c r="V21" s="84"/>
      <c r="W21" s="85"/>
      <c r="X21" s="85"/>
      <c r="Y21" s="8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44"/>
    <col customWidth="1" min="2" max="27" width="11.11"/>
  </cols>
  <sheetData>
    <row r="1" ht="41.25" customHeight="1">
      <c r="A1" s="86" t="s">
        <v>68</v>
      </c>
      <c r="G1" s="87"/>
      <c r="H1" s="87"/>
      <c r="I1" s="87"/>
      <c r="J1" s="87"/>
      <c r="K1" s="87"/>
      <c r="L1" s="87"/>
      <c r="M1" s="87"/>
      <c r="N1" s="88"/>
      <c r="AA1" s="88"/>
    </row>
    <row r="2" ht="15.0" customHeight="1">
      <c r="B2" s="87"/>
      <c r="C2" s="87"/>
      <c r="D2" s="87"/>
      <c r="E2" s="87"/>
      <c r="F2" s="87"/>
      <c r="G2" s="87"/>
      <c r="H2" s="87"/>
      <c r="I2" s="87"/>
      <c r="J2" s="87"/>
      <c r="K2" s="87"/>
      <c r="L2" s="87"/>
      <c r="M2" s="87"/>
      <c r="AA2" s="89"/>
    </row>
    <row r="3" ht="15.0" customHeight="1">
      <c r="B3" s="12">
        <v>46037.0</v>
      </c>
      <c r="C3" s="12">
        <v>46068.0</v>
      </c>
      <c r="D3" s="12">
        <v>46099.0</v>
      </c>
      <c r="E3" s="12">
        <v>46130.0</v>
      </c>
      <c r="F3" s="12">
        <v>46161.0</v>
      </c>
      <c r="G3" s="12">
        <v>46192.0</v>
      </c>
      <c r="H3" s="12">
        <v>46223.0</v>
      </c>
      <c r="I3" s="12">
        <v>46254.0</v>
      </c>
      <c r="J3" s="12">
        <v>46285.0</v>
      </c>
      <c r="K3" s="12">
        <v>46316.0</v>
      </c>
      <c r="L3" s="12">
        <v>46347.0</v>
      </c>
      <c r="M3" s="12">
        <v>46378.0</v>
      </c>
      <c r="N3" s="12">
        <v>46402.0</v>
      </c>
      <c r="O3" s="12">
        <v>46433.0</v>
      </c>
      <c r="P3" s="12">
        <v>46464.0</v>
      </c>
      <c r="Q3" s="12">
        <v>46495.0</v>
      </c>
      <c r="R3" s="12">
        <v>46526.0</v>
      </c>
      <c r="S3" s="12">
        <v>46557.0</v>
      </c>
      <c r="T3" s="12">
        <v>46588.0</v>
      </c>
      <c r="U3" s="12">
        <v>46619.0</v>
      </c>
      <c r="V3" s="12">
        <v>46650.0</v>
      </c>
      <c r="W3" s="12">
        <v>46681.0</v>
      </c>
      <c r="X3" s="12">
        <v>46712.0</v>
      </c>
      <c r="Y3" s="12">
        <v>46743.0</v>
      </c>
    </row>
    <row r="4" ht="15.0" customHeight="1">
      <c r="A4" s="90" t="s">
        <v>69</v>
      </c>
      <c r="B4" s="91">
        <f>Expenses!F49</f>
        <v>4666.666667</v>
      </c>
      <c r="C4" s="91">
        <f>Expenses!G49</f>
        <v>4666.666667</v>
      </c>
      <c r="D4" s="91">
        <f>Expenses!H49</f>
        <v>4666.666667</v>
      </c>
      <c r="E4" s="91">
        <f>Expenses!J49</f>
        <v>4666.666667</v>
      </c>
      <c r="F4" s="91">
        <f>Expenses!K49</f>
        <v>5250</v>
      </c>
      <c r="G4" s="91">
        <f>Expenses!L49</f>
        <v>5250</v>
      </c>
      <c r="H4" s="91">
        <f>Expenses!N49</f>
        <v>14333.33333</v>
      </c>
      <c r="I4" s="91">
        <f>Expenses!O49</f>
        <v>14333.33333</v>
      </c>
      <c r="J4" s="91">
        <f>Expenses!P49</f>
        <v>14333.33333</v>
      </c>
      <c r="K4" s="91">
        <f>Expenses!R49</f>
        <v>14333.33333</v>
      </c>
      <c r="L4" s="91">
        <f>Expenses!S49</f>
        <v>14333.33333</v>
      </c>
      <c r="M4" s="91">
        <f>Expenses!T49</f>
        <v>14333.33333</v>
      </c>
      <c r="N4" s="91">
        <f>Expenses!W49</f>
        <v>14333.33333</v>
      </c>
      <c r="O4" s="91">
        <f>Expenses!X49</f>
        <v>14333.33333</v>
      </c>
      <c r="P4" s="91">
        <f>Expenses!Y49</f>
        <v>14333.33333</v>
      </c>
      <c r="Q4" s="91">
        <f>Expenses!AA49</f>
        <v>14333.33333</v>
      </c>
      <c r="R4" s="91">
        <f>Expenses!AB49</f>
        <v>14333.33333</v>
      </c>
      <c r="S4" s="91">
        <f>Expenses!AC49</f>
        <v>14333.33333</v>
      </c>
      <c r="T4" s="91">
        <f>Expenses!AE49</f>
        <v>14333.33333</v>
      </c>
      <c r="U4" s="91">
        <f>Expenses!AF49</f>
        <v>14333.33333</v>
      </c>
      <c r="V4" s="91">
        <f>Expenses!AG49</f>
        <v>14333.33333</v>
      </c>
      <c r="W4" s="91">
        <f>Expenses!AI49</f>
        <v>14333.33333</v>
      </c>
      <c r="X4" s="91">
        <f>Expenses!AJ49</f>
        <v>14333.33333</v>
      </c>
      <c r="Y4" s="91">
        <f>Expenses!AK49</f>
        <v>14333.33333</v>
      </c>
    </row>
    <row r="5" ht="15.0" customHeight="1">
      <c r="A5" s="90" t="s">
        <v>70</v>
      </c>
      <c r="B5" s="91">
        <f>'App Purchase Revenue'!B17</f>
        <v>1050</v>
      </c>
      <c r="C5" s="91">
        <f>'App Purchase Revenue'!C17</f>
        <v>1312.5</v>
      </c>
      <c r="D5" s="91">
        <f>'App Purchase Revenue'!D17</f>
        <v>1641.5</v>
      </c>
      <c r="E5" s="91">
        <f>'App Purchase Revenue'!E17</f>
        <v>2051</v>
      </c>
      <c r="F5" s="91">
        <f>'App Purchase Revenue'!F17</f>
        <v>2562</v>
      </c>
      <c r="G5" s="91">
        <f>'App Purchase Revenue'!G17</f>
        <v>3206</v>
      </c>
      <c r="H5" s="91">
        <f>'App Purchase Revenue'!H17</f>
        <v>4004</v>
      </c>
      <c r="I5" s="91">
        <f>'App Purchase Revenue'!I17</f>
        <v>5008.5</v>
      </c>
      <c r="J5" s="91">
        <f>'App Purchase Revenue'!J17</f>
        <v>6258</v>
      </c>
      <c r="K5" s="91">
        <f>'App Purchase Revenue'!K17</f>
        <v>7822.5</v>
      </c>
      <c r="L5" s="91">
        <f>'App Purchase Revenue'!L17</f>
        <v>9779</v>
      </c>
      <c r="M5" s="91">
        <f>'App Purchase Revenue'!M17</f>
        <v>12222</v>
      </c>
      <c r="N5" s="91">
        <f>'App Purchase Revenue'!N17</f>
        <v>15281</v>
      </c>
      <c r="O5" s="91">
        <f>'App Purchase Revenue'!O17</f>
        <v>19099.5</v>
      </c>
      <c r="P5" s="91">
        <f>'App Purchase Revenue'!P17</f>
        <v>23873.5</v>
      </c>
      <c r="Q5" s="91">
        <f>'App Purchase Revenue'!Q17</f>
        <v>29844.5</v>
      </c>
      <c r="R5" s="91">
        <f>'App Purchase Revenue'!R17</f>
        <v>37303</v>
      </c>
      <c r="S5" s="91">
        <f>'App Purchase Revenue'!S17</f>
        <v>46630.5</v>
      </c>
      <c r="T5" s="91">
        <f>'App Purchase Revenue'!T17</f>
        <v>58285.5</v>
      </c>
      <c r="U5" s="91">
        <f>'App Purchase Revenue'!U17</f>
        <v>72859.5</v>
      </c>
      <c r="V5" s="91">
        <f>'App Purchase Revenue'!V17</f>
        <v>91073.5</v>
      </c>
      <c r="W5" s="91">
        <f>'App Purchase Revenue'!W17</f>
        <v>113841</v>
      </c>
      <c r="X5" s="91">
        <f>'App Purchase Revenue'!X17</f>
        <v>142303</v>
      </c>
      <c r="Y5" s="91">
        <f>'App Purchase Revenue'!Y17</f>
        <v>177877</v>
      </c>
    </row>
    <row r="6" ht="15.0" customHeight="1">
      <c r="A6" s="90" t="s">
        <v>71</v>
      </c>
      <c r="B6" s="91">
        <f t="shared" ref="B6:Y6" si="1">B5-B4</f>
        <v>-3616.666667</v>
      </c>
      <c r="C6" s="91">
        <f t="shared" si="1"/>
        <v>-3354.166667</v>
      </c>
      <c r="D6" s="91">
        <f t="shared" si="1"/>
        <v>-3025.166667</v>
      </c>
      <c r="E6" s="91">
        <f t="shared" si="1"/>
        <v>-2615.666667</v>
      </c>
      <c r="F6" s="91">
        <f t="shared" si="1"/>
        <v>-2688</v>
      </c>
      <c r="G6" s="91">
        <f t="shared" si="1"/>
        <v>-2044</v>
      </c>
      <c r="H6" s="91">
        <f t="shared" si="1"/>
        <v>-10329.33333</v>
      </c>
      <c r="I6" s="91">
        <f t="shared" si="1"/>
        <v>-9324.833333</v>
      </c>
      <c r="J6" s="91">
        <f t="shared" si="1"/>
        <v>-8075.333333</v>
      </c>
      <c r="K6" s="91">
        <f t="shared" si="1"/>
        <v>-6510.833333</v>
      </c>
      <c r="L6" s="91">
        <f t="shared" si="1"/>
        <v>-4554.333333</v>
      </c>
      <c r="M6" s="91">
        <f t="shared" si="1"/>
        <v>-2111.333333</v>
      </c>
      <c r="N6" s="91">
        <f t="shared" si="1"/>
        <v>947.6666667</v>
      </c>
      <c r="O6" s="91">
        <f t="shared" si="1"/>
        <v>4766.166667</v>
      </c>
      <c r="P6" s="91">
        <f t="shared" si="1"/>
        <v>9540.166667</v>
      </c>
      <c r="Q6" s="91">
        <f t="shared" si="1"/>
        <v>15511.16667</v>
      </c>
      <c r="R6" s="91">
        <f t="shared" si="1"/>
        <v>22969.66667</v>
      </c>
      <c r="S6" s="91">
        <f t="shared" si="1"/>
        <v>32297.16667</v>
      </c>
      <c r="T6" s="91">
        <f t="shared" si="1"/>
        <v>43952.16667</v>
      </c>
      <c r="U6" s="91">
        <f t="shared" si="1"/>
        <v>58526.16667</v>
      </c>
      <c r="V6" s="91">
        <f t="shared" si="1"/>
        <v>76740.16667</v>
      </c>
      <c r="W6" s="91">
        <f t="shared" si="1"/>
        <v>99507.66667</v>
      </c>
      <c r="X6" s="91">
        <f t="shared" si="1"/>
        <v>127969.6667</v>
      </c>
      <c r="Y6" s="91">
        <f t="shared" si="1"/>
        <v>163543.6667</v>
      </c>
    </row>
    <row r="7" ht="15.0" customHeight="1">
      <c r="A7" s="90" t="s">
        <v>72</v>
      </c>
      <c r="B7" s="92">
        <f>Expenses!B2+B6+B8</f>
        <v>96383.33333</v>
      </c>
      <c r="C7" s="92">
        <f t="shared" ref="C7:Y7" si="2">B7+C6+C8</f>
        <v>93029.16667</v>
      </c>
      <c r="D7" s="92">
        <f t="shared" si="2"/>
        <v>90004</v>
      </c>
      <c r="E7" s="92">
        <f t="shared" si="2"/>
        <v>87388.33333</v>
      </c>
      <c r="F7" s="92">
        <f t="shared" si="2"/>
        <v>84700.33333</v>
      </c>
      <c r="G7" s="92">
        <f t="shared" si="2"/>
        <v>82656.33333</v>
      </c>
      <c r="H7" s="92">
        <f t="shared" si="2"/>
        <v>172327</v>
      </c>
      <c r="I7" s="92">
        <f t="shared" si="2"/>
        <v>163002.1667</v>
      </c>
      <c r="J7" s="92">
        <f t="shared" si="2"/>
        <v>154926.8333</v>
      </c>
      <c r="K7" s="92">
        <f t="shared" si="2"/>
        <v>148416</v>
      </c>
      <c r="L7" s="92">
        <f t="shared" si="2"/>
        <v>143861.6667</v>
      </c>
      <c r="M7" s="92">
        <f t="shared" si="2"/>
        <v>141750.3333</v>
      </c>
      <c r="N7" s="92">
        <f t="shared" si="2"/>
        <v>142698</v>
      </c>
      <c r="O7" s="92">
        <f t="shared" si="2"/>
        <v>147464.1667</v>
      </c>
      <c r="P7" s="92">
        <f t="shared" si="2"/>
        <v>157004.3333</v>
      </c>
      <c r="Q7" s="92">
        <f t="shared" si="2"/>
        <v>172515.5</v>
      </c>
      <c r="R7" s="92">
        <f t="shared" si="2"/>
        <v>195485.1667</v>
      </c>
      <c r="S7" s="92">
        <f t="shared" si="2"/>
        <v>227782.3333</v>
      </c>
      <c r="T7" s="92">
        <f t="shared" si="2"/>
        <v>271734.5</v>
      </c>
      <c r="U7" s="92">
        <f t="shared" si="2"/>
        <v>330260.6667</v>
      </c>
      <c r="V7" s="92">
        <f t="shared" si="2"/>
        <v>407000.8333</v>
      </c>
      <c r="W7" s="92">
        <f t="shared" si="2"/>
        <v>506508.5</v>
      </c>
      <c r="X7" s="92">
        <f t="shared" si="2"/>
        <v>634478.1667</v>
      </c>
      <c r="Y7" s="92">
        <f t="shared" si="2"/>
        <v>798021.8333</v>
      </c>
    </row>
    <row r="8" ht="15.0" customHeight="1">
      <c r="A8" s="90" t="s">
        <v>73</v>
      </c>
      <c r="B8" s="93"/>
      <c r="C8" s="93"/>
      <c r="D8" s="93"/>
      <c r="E8" s="93"/>
      <c r="F8" s="93"/>
      <c r="G8" s="93"/>
      <c r="H8" s="94">
        <v>100000.0</v>
      </c>
      <c r="I8" s="93"/>
      <c r="J8" s="93"/>
      <c r="K8" s="93"/>
      <c r="L8" s="93"/>
      <c r="M8" s="93"/>
      <c r="N8" s="93"/>
      <c r="O8" s="93"/>
      <c r="P8" s="93"/>
      <c r="Q8" s="93"/>
      <c r="R8" s="93"/>
      <c r="S8" s="93"/>
      <c r="T8" s="94"/>
      <c r="U8" s="93"/>
      <c r="V8" s="93"/>
      <c r="W8" s="93"/>
      <c r="X8" s="93"/>
      <c r="Y8" s="93"/>
    </row>
    <row r="9" ht="15.0" customHeight="1">
      <c r="A9" s="90" t="s">
        <v>74</v>
      </c>
      <c r="B9" s="92">
        <f t="shared" ref="B9:Y9" si="3">7*B5</f>
        <v>7350</v>
      </c>
      <c r="C9" s="92">
        <f t="shared" si="3"/>
        <v>9187.5</v>
      </c>
      <c r="D9" s="92">
        <f t="shared" si="3"/>
        <v>11490.5</v>
      </c>
      <c r="E9" s="92">
        <f t="shared" si="3"/>
        <v>14357</v>
      </c>
      <c r="F9" s="92">
        <f t="shared" si="3"/>
        <v>17934</v>
      </c>
      <c r="G9" s="92">
        <f t="shared" si="3"/>
        <v>22442</v>
      </c>
      <c r="H9" s="92">
        <f t="shared" si="3"/>
        <v>28028</v>
      </c>
      <c r="I9" s="92">
        <f t="shared" si="3"/>
        <v>35059.5</v>
      </c>
      <c r="J9" s="92">
        <f t="shared" si="3"/>
        <v>43806</v>
      </c>
      <c r="K9" s="92">
        <f t="shared" si="3"/>
        <v>54757.5</v>
      </c>
      <c r="L9" s="92">
        <f t="shared" si="3"/>
        <v>68453</v>
      </c>
      <c r="M9" s="92">
        <f t="shared" si="3"/>
        <v>85554</v>
      </c>
      <c r="N9" s="92">
        <f t="shared" si="3"/>
        <v>106967</v>
      </c>
      <c r="O9" s="92">
        <f t="shared" si="3"/>
        <v>133696.5</v>
      </c>
      <c r="P9" s="92">
        <f t="shared" si="3"/>
        <v>167114.5</v>
      </c>
      <c r="Q9" s="92">
        <f t="shared" si="3"/>
        <v>208911.5</v>
      </c>
      <c r="R9" s="92">
        <f t="shared" si="3"/>
        <v>261121</v>
      </c>
      <c r="S9" s="92">
        <f t="shared" si="3"/>
        <v>326413.5</v>
      </c>
      <c r="T9" s="92">
        <f t="shared" si="3"/>
        <v>407998.5</v>
      </c>
      <c r="U9" s="92">
        <f t="shared" si="3"/>
        <v>510016.5</v>
      </c>
      <c r="V9" s="92">
        <f t="shared" si="3"/>
        <v>637514.5</v>
      </c>
      <c r="W9" s="92">
        <f t="shared" si="3"/>
        <v>796887</v>
      </c>
      <c r="X9" s="92">
        <f t="shared" si="3"/>
        <v>996121</v>
      </c>
      <c r="Y9" s="92">
        <f t="shared" si="3"/>
        <v>1245139</v>
      </c>
    </row>
    <row r="10" ht="15.75" customHeight="1"/>
    <row r="11" ht="15.75" customHeight="1">
      <c r="B11" s="14" t="s">
        <v>14</v>
      </c>
      <c r="C11" s="14" t="s">
        <v>19</v>
      </c>
      <c r="N11" s="88"/>
    </row>
    <row r="12" ht="15.75" customHeight="1">
      <c r="A12" s="95" t="s">
        <v>75</v>
      </c>
      <c r="B12" s="91">
        <f>Expenses!V49</f>
        <v>115166.6667</v>
      </c>
      <c r="C12" s="91">
        <f>Expenses!AM49</f>
        <v>172000</v>
      </c>
    </row>
    <row r="13" ht="15.75" customHeight="1">
      <c r="A13" s="95" t="s">
        <v>76</v>
      </c>
      <c r="B13" s="91">
        <f>SUM(B5:M5)</f>
        <v>56917</v>
      </c>
      <c r="C13" s="91">
        <f>SUM(N5:Y5)</f>
        <v>828271.5</v>
      </c>
    </row>
    <row r="14" ht="15.75" customHeight="1">
      <c r="A14" s="90" t="s">
        <v>71</v>
      </c>
      <c r="B14" s="91">
        <f t="shared" ref="B14:C14" si="4">B13-B12</f>
        <v>-58249.66667</v>
      </c>
      <c r="C14" s="91">
        <f t="shared" si="4"/>
        <v>656271.5</v>
      </c>
    </row>
    <row r="15" ht="15.75" customHeight="1">
      <c r="A15" s="90" t="s">
        <v>72</v>
      </c>
      <c r="B15" s="92">
        <f>M7</f>
        <v>141750.3333</v>
      </c>
      <c r="C15" s="92">
        <f>Y7</f>
        <v>798021.8333</v>
      </c>
    </row>
    <row r="16" ht="15.75" customHeight="1">
      <c r="A16" s="90"/>
    </row>
    <row r="17" ht="15.75" customHeight="1">
      <c r="A17" s="90"/>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2026-02-19T17:21:59Z</dcterms:created>
  <dc:creator>openpyxl</dc:creator>
</cp:coreProperties>
</file>